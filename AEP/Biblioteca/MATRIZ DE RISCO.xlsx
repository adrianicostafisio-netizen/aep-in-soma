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e2f628d4407ac9/Desktop/AGENTE/AEP/Biblioteca/"/>
    </mc:Choice>
  </mc:AlternateContent>
  <xr:revisionPtr revIDLastSave="3" documentId="8_{7A35A466-25C2-4BDA-8A80-0EEC474AA48E}" xr6:coauthVersionLast="47" xr6:coauthVersionMax="47" xr10:uidLastSave="{AEB834EA-AED0-4155-97F0-D8305BEC7CAC}"/>
  <bookViews>
    <workbookView xWindow="-120" yWindow="-120" windowWidth="20730" windowHeight="11040" firstSheet="1" activeTab="1" xr2:uid="{C308B309-12DE-40F1-853F-00E493BAED5A}"/>
  </bookViews>
  <sheets>
    <sheet name="INCERTEZA" sheetId="8" r:id="rId1"/>
    <sheet name="AEP" sheetId="1" r:id="rId2"/>
    <sheet name="LANÇAMENTOS" sheetId="7" r:id="rId3"/>
    <sheet name="Planilha5" sheetId="6" r:id="rId4"/>
    <sheet name="Planilha11" sheetId="11" r:id="rId5"/>
    <sheet name="Planilha9" sheetId="9" r:id="rId6"/>
    <sheet name="Planilha3" sheetId="3" r:id="rId7"/>
    <sheet name="Planilha2" sheetId="2" r:id="rId8"/>
    <sheet name="monitoramento" sheetId="5" r:id="rId9"/>
  </sheets>
  <externalReferences>
    <externalReference r:id="rId10"/>
  </externalReferences>
  <definedNames>
    <definedName name="_10thCol" localSheetId="0">#REF!</definedName>
    <definedName name="_10thCol">#REF!</definedName>
    <definedName name="_2ndCol" localSheetId="0">#REF!</definedName>
    <definedName name="_2ndCol">#REF!</definedName>
    <definedName name="_3rdCol" localSheetId="0">#REF!</definedName>
    <definedName name="_3rdCol">#REF!</definedName>
    <definedName name="_4thCol" localSheetId="0">#REF!</definedName>
    <definedName name="_4thCol">#REF!</definedName>
    <definedName name="_5thCol" localSheetId="0">#REF!</definedName>
    <definedName name="_5thCol">#REF!</definedName>
    <definedName name="_6thCol" localSheetId="0">#REF!</definedName>
    <definedName name="_6thCol">#REF!</definedName>
    <definedName name="_7thCol" localSheetId="0">#REF!</definedName>
    <definedName name="_7thCol">#REF!</definedName>
    <definedName name="_8thCol" localSheetId="0">#REF!</definedName>
    <definedName name="_8thCol">#REF!</definedName>
    <definedName name="_9thCol" localSheetId="0">#REF!</definedName>
    <definedName name="_9thCol">#REF!</definedName>
    <definedName name="_RWL2">'[1]NIOSH Lifting Equation'!$L$22</definedName>
    <definedName name="AM">'[1]NIOSH Lifting Equation'!$H$29</definedName>
    <definedName name="AM.1" localSheetId="0">#REF!</definedName>
    <definedName name="AM.1">#REF!</definedName>
    <definedName name="AM.10" localSheetId="0">#REF!</definedName>
    <definedName name="AM.10">#REF!</definedName>
    <definedName name="AM.2" localSheetId="0">#REF!</definedName>
    <definedName name="AM.2">#REF!</definedName>
    <definedName name="AM.3" localSheetId="0">#REF!</definedName>
    <definedName name="AM.3">#REF!</definedName>
    <definedName name="AM.4" localSheetId="0">#REF!</definedName>
    <definedName name="AM.4">#REF!</definedName>
    <definedName name="AM.5" localSheetId="0">#REF!</definedName>
    <definedName name="AM.5">#REF!</definedName>
    <definedName name="AM.6" localSheetId="0">#REF!</definedName>
    <definedName name="AM.6">#REF!</definedName>
    <definedName name="AM.7" localSheetId="0">#REF!</definedName>
    <definedName name="AM.7">#REF!</definedName>
    <definedName name="AM.8" localSheetId="0">#REF!</definedName>
    <definedName name="AM.8">#REF!</definedName>
    <definedName name="AM.9" localSheetId="0">#REF!</definedName>
    <definedName name="AM.9">#REF!</definedName>
    <definedName name="AMBIENTAIS">Planilha11!$D$1:$D$10</definedName>
    <definedName name="Angle">'[1]NIOSH Lifting Equation'!$D$29</definedName>
    <definedName name="Angle1" localSheetId="0">#REF!</definedName>
    <definedName name="Angle1">#REF!</definedName>
    <definedName name="Angle10" localSheetId="0">#REF!</definedName>
    <definedName name="Angle10">#REF!</definedName>
    <definedName name="Angle2" localSheetId="0">#REF!</definedName>
    <definedName name="Angle2">#REF!</definedName>
    <definedName name="Angle3" localSheetId="0">#REF!</definedName>
    <definedName name="Angle3">#REF!</definedName>
    <definedName name="Angle4" localSheetId="0">#REF!</definedName>
    <definedName name="Angle4">#REF!</definedName>
    <definedName name="Angle5" localSheetId="0">#REF!</definedName>
    <definedName name="Angle5">#REF!</definedName>
    <definedName name="Angle6" localSheetId="0">#REF!</definedName>
    <definedName name="Angle6">#REF!</definedName>
    <definedName name="Angle7" localSheetId="0">#REF!</definedName>
    <definedName name="Angle7">#REF!</definedName>
    <definedName name="Angle8" localSheetId="0">#REF!</definedName>
    <definedName name="Angle8">#REF!</definedName>
    <definedName name="Angle9" localSheetId="0">#REF!</definedName>
    <definedName name="Angle9">#REF!</definedName>
    <definedName name="_xlnm.Print_Area" localSheetId="1">AEP!$A$1:$CK$26</definedName>
    <definedName name="bigtable" localSheetId="0">#REF!</definedName>
    <definedName name="bigtable">#REF!</definedName>
    <definedName name="BIOMECÂNICOS">Planilha11!$A$1:$A$22</definedName>
    <definedName name="CLI" localSheetId="0">#REF!</definedName>
    <definedName name="CLI">#REF!</definedName>
    <definedName name="CM">'[1]NIOSH Lifting Equation'!$H$32</definedName>
    <definedName name="CM.1" localSheetId="0">#REF!</definedName>
    <definedName name="CM.1">#REF!</definedName>
    <definedName name="CM.10" localSheetId="0">#REF!</definedName>
    <definedName name="CM.10">#REF!</definedName>
    <definedName name="CM.2" localSheetId="0">#REF!</definedName>
    <definedName name="CM.2">#REF!</definedName>
    <definedName name="CM.3" localSheetId="0">#REF!</definedName>
    <definedName name="CM.3">#REF!</definedName>
    <definedName name="CM.4" localSheetId="0">#REF!</definedName>
    <definedName name="CM.4">#REF!</definedName>
    <definedName name="CM.5" localSheetId="0">#REF!</definedName>
    <definedName name="CM.5">#REF!</definedName>
    <definedName name="CM.6" localSheetId="0">#REF!</definedName>
    <definedName name="CM.6">#REF!</definedName>
    <definedName name="CM.7" localSheetId="0">#REF!</definedName>
    <definedName name="CM.7">#REF!</definedName>
    <definedName name="CM.8" localSheetId="0">#REF!</definedName>
    <definedName name="CM.8">#REF!</definedName>
    <definedName name="CM.9" localSheetId="0">#REF!</definedName>
    <definedName name="CM.9">#REF!</definedName>
    <definedName name="Coupling">'[1]NIOSH Lifting Equation'!$D$32</definedName>
    <definedName name="Coupling1" localSheetId="0">#REF!</definedName>
    <definedName name="Coupling1">#REF!</definedName>
    <definedName name="Coupling10" localSheetId="0">#REF!</definedName>
    <definedName name="Coupling10">#REF!</definedName>
    <definedName name="Coupling2" localSheetId="0">#REF!</definedName>
    <definedName name="Coupling2">#REF!</definedName>
    <definedName name="Coupling3" localSheetId="0">#REF!</definedName>
    <definedName name="Coupling3">#REF!</definedName>
    <definedName name="Coupling4" localSheetId="0">#REF!</definedName>
    <definedName name="Coupling4">#REF!</definedName>
    <definedName name="Coupling5" localSheetId="0">#REF!</definedName>
    <definedName name="Coupling5">#REF!</definedName>
    <definedName name="Coupling6" localSheetId="0">#REF!</definedName>
    <definedName name="Coupling6">#REF!</definedName>
    <definedName name="Coupling7" localSheetId="0">#REF!</definedName>
    <definedName name="Coupling7">#REF!</definedName>
    <definedName name="Coupling8" localSheetId="0">#REF!</definedName>
    <definedName name="Coupling8">#REF!</definedName>
    <definedName name="Coupling9" localSheetId="0">#REF!</definedName>
    <definedName name="Coupling9">#REF!</definedName>
    <definedName name="DM">'[1]NIOSH Lifting Equation'!$H$26</definedName>
    <definedName name="DM.1" localSheetId="0">#REF!</definedName>
    <definedName name="DM.1">#REF!</definedName>
    <definedName name="DM.10" localSheetId="0">#REF!</definedName>
    <definedName name="DM.10">#REF!</definedName>
    <definedName name="DM.2" localSheetId="0">#REF!</definedName>
    <definedName name="DM.2">#REF!</definedName>
    <definedName name="DM.3" localSheetId="0">#REF!</definedName>
    <definedName name="DM.3">#REF!</definedName>
    <definedName name="DM.4" localSheetId="0">#REF!</definedName>
    <definedName name="DM.4">#REF!</definedName>
    <definedName name="DM.5" localSheetId="0">#REF!</definedName>
    <definedName name="DM.5">#REF!</definedName>
    <definedName name="DM.6" localSheetId="0">#REF!</definedName>
    <definedName name="DM.6">#REF!</definedName>
    <definedName name="DM.7" localSheetId="0">#REF!</definedName>
    <definedName name="DM.7">#REF!</definedName>
    <definedName name="DM.8" localSheetId="0">#REF!</definedName>
    <definedName name="DM.8">#REF!</definedName>
    <definedName name="DM.9" localSheetId="0">#REF!</definedName>
    <definedName name="DM.9">#REF!</definedName>
    <definedName name="Duration">'[1]NIOSH Lifting Equation'!$D$35</definedName>
    <definedName name="Duration1" localSheetId="0">#REF!</definedName>
    <definedName name="Duration1">#REF!</definedName>
    <definedName name="Duration10" localSheetId="0">#REF!</definedName>
    <definedName name="Duration10">#REF!</definedName>
    <definedName name="Duration2" localSheetId="0">#REF!</definedName>
    <definedName name="Duration2">#REF!</definedName>
    <definedName name="Duration3" localSheetId="0">#REF!</definedName>
    <definedName name="Duration3">#REF!</definedName>
    <definedName name="Duration4" localSheetId="0">#REF!</definedName>
    <definedName name="Duration4">#REF!</definedName>
    <definedName name="Duration5" localSheetId="0">#REF!</definedName>
    <definedName name="Duration5">#REF!</definedName>
    <definedName name="Duration6" localSheetId="0">#REF!</definedName>
    <definedName name="Duration6">#REF!</definedName>
    <definedName name="Duration7" localSheetId="0">#REF!</definedName>
    <definedName name="Duration7">#REF!</definedName>
    <definedName name="Duration8" localSheetId="0">#REF!</definedName>
    <definedName name="Duration8">#REF!</definedName>
    <definedName name="Duration9" localSheetId="0">#REF!</definedName>
    <definedName name="Duration9">#REF!</definedName>
    <definedName name="FIRWL1" localSheetId="0">#REF!</definedName>
    <definedName name="FIRWL1">#REF!</definedName>
    <definedName name="FIRWL10" localSheetId="0">#REF!</definedName>
    <definedName name="FIRWL10">#REF!</definedName>
    <definedName name="FIRWL2" localSheetId="0">#REF!</definedName>
    <definedName name="FIRWL2">#REF!</definedName>
    <definedName name="FIRWL3" localSheetId="0">#REF!</definedName>
    <definedName name="FIRWL3">#REF!</definedName>
    <definedName name="FIRWL4" localSheetId="0">#REF!</definedName>
    <definedName name="FIRWL4">#REF!</definedName>
    <definedName name="FIRWL5" localSheetId="0">#REF!</definedName>
    <definedName name="FIRWL5">#REF!</definedName>
    <definedName name="FIRWL6" localSheetId="0">#REF!</definedName>
    <definedName name="FIRWL6">#REF!</definedName>
    <definedName name="FIRWL7" localSheetId="0">#REF!</definedName>
    <definedName name="FIRWL7">#REF!</definedName>
    <definedName name="FIRWL8" localSheetId="0">#REF!</definedName>
    <definedName name="FIRWL8">#REF!</definedName>
    <definedName name="FIRWL9" localSheetId="0">#REF!</definedName>
    <definedName name="FIRWL9">#REF!</definedName>
    <definedName name="FM">'[1]NIOSH Lifting Equation'!$H$38</definedName>
    <definedName name="FM.1" localSheetId="0">#REF!</definedName>
    <definedName name="FM.1">#REF!</definedName>
    <definedName name="FM.10" localSheetId="0">#REF!</definedName>
    <definedName name="FM.10">#REF!</definedName>
    <definedName name="FM.2" localSheetId="0">#REF!</definedName>
    <definedName name="FM.2">#REF!</definedName>
    <definedName name="FM.3" localSheetId="0">#REF!</definedName>
    <definedName name="FM.3">#REF!</definedName>
    <definedName name="FM.4" localSheetId="0">#REF!</definedName>
    <definedName name="FM.4">#REF!</definedName>
    <definedName name="FM.5" localSheetId="0">#REF!</definedName>
    <definedName name="FM.5">#REF!</definedName>
    <definedName name="FM.6" localSheetId="0">#REF!</definedName>
    <definedName name="FM.6">#REF!</definedName>
    <definedName name="FM.7" localSheetId="0">#REF!</definedName>
    <definedName name="FM.7">#REF!</definedName>
    <definedName name="FM.8" localSheetId="0">#REF!</definedName>
    <definedName name="FM.8">#REF!</definedName>
    <definedName name="FM.9" localSheetId="0">#REF!</definedName>
    <definedName name="FM.9">#REF!</definedName>
    <definedName name="FREQUENCY" localSheetId="0">#REF!</definedName>
    <definedName name="FREQUENCY">#REF!</definedName>
    <definedName name="Frequency1" localSheetId="0">#REF!</definedName>
    <definedName name="Frequency1">#REF!</definedName>
    <definedName name="Frequency10" localSheetId="0">#REF!</definedName>
    <definedName name="Frequency10">#REF!</definedName>
    <definedName name="Frequency2" localSheetId="0">#REF!</definedName>
    <definedName name="Frequency2">#REF!</definedName>
    <definedName name="Frequency3" localSheetId="0">#REF!</definedName>
    <definedName name="Frequency3">#REF!</definedName>
    <definedName name="Frequency4" localSheetId="0">#REF!</definedName>
    <definedName name="Frequency4">#REF!</definedName>
    <definedName name="Frequency5" localSheetId="0">#REF!</definedName>
    <definedName name="Frequency5">#REF!</definedName>
    <definedName name="Frequency6" localSheetId="0">#REF!</definedName>
    <definedName name="Frequency6">#REF!</definedName>
    <definedName name="Frequency7" localSheetId="0">#REF!</definedName>
    <definedName name="Frequency7">#REF!</definedName>
    <definedName name="Frequency8" localSheetId="0">#REF!</definedName>
    <definedName name="Frequency8">#REF!</definedName>
    <definedName name="Frequency9" localSheetId="0">#REF!</definedName>
    <definedName name="Frequency9">#REF!</definedName>
    <definedName name="HM">'[1]NIOSH Lifting Equation'!$H$20</definedName>
    <definedName name="HM.1" localSheetId="0">#REF!</definedName>
    <definedName name="HM.1">#REF!</definedName>
    <definedName name="HM.10" localSheetId="0">#REF!</definedName>
    <definedName name="HM.10">#REF!</definedName>
    <definedName name="HM.2" localSheetId="0">#REF!</definedName>
    <definedName name="HM.2">#REF!</definedName>
    <definedName name="HM.3" localSheetId="0">#REF!</definedName>
    <definedName name="HM.3">#REF!</definedName>
    <definedName name="HM.4" localSheetId="0">#REF!</definedName>
    <definedName name="HM.4">#REF!</definedName>
    <definedName name="HM.5" localSheetId="0">#REF!</definedName>
    <definedName name="HM.5">#REF!</definedName>
    <definedName name="HM.6" localSheetId="0">#REF!</definedName>
    <definedName name="HM.6">#REF!</definedName>
    <definedName name="HM.7" localSheetId="0">#REF!</definedName>
    <definedName name="HM.7">#REF!</definedName>
    <definedName name="HM.8" localSheetId="0">#REF!</definedName>
    <definedName name="HM.8">#REF!</definedName>
    <definedName name="HM.9" localSheetId="0">#REF!</definedName>
    <definedName name="HM.9">#REF!</definedName>
    <definedName name="HorizLoc">'[1]NIOSH Lifting Equation'!$D$20</definedName>
    <definedName name="HorizLoc1" localSheetId="0">#REF!</definedName>
    <definedName name="HorizLoc1">#REF!</definedName>
    <definedName name="HorizLoc10" localSheetId="0">#REF!</definedName>
    <definedName name="HorizLoc10">#REF!</definedName>
    <definedName name="HorizLoc2" localSheetId="0">#REF!</definedName>
    <definedName name="HorizLoc2">#REF!</definedName>
    <definedName name="HorizLoc3" localSheetId="0">#REF!</definedName>
    <definedName name="HorizLoc3">#REF!</definedName>
    <definedName name="HorizLoc4" localSheetId="0">#REF!</definedName>
    <definedName name="HorizLoc4">#REF!</definedName>
    <definedName name="HorizLoc5" localSheetId="0">#REF!</definedName>
    <definedName name="HorizLoc5">#REF!</definedName>
    <definedName name="HorizLoc6" localSheetId="0">#REF!</definedName>
    <definedName name="HorizLoc6">#REF!</definedName>
    <definedName name="HorizLoc7" localSheetId="0">#REF!</definedName>
    <definedName name="HorizLoc7">#REF!</definedName>
    <definedName name="HorizLoc8" localSheetId="0">#REF!</definedName>
    <definedName name="HorizLoc8">#REF!</definedName>
    <definedName name="HorizLoc9" localSheetId="0">#REF!</definedName>
    <definedName name="HorizLoc9">#REF!</definedName>
    <definedName name="Load">'[1]NIOSH Lifting Equation'!$D$41</definedName>
    <definedName name="Load1" localSheetId="0">#REF!</definedName>
    <definedName name="Load1">#REF!</definedName>
    <definedName name="Load10" localSheetId="0">#REF!</definedName>
    <definedName name="Load10">#REF!</definedName>
    <definedName name="Load2" localSheetId="0">#REF!</definedName>
    <definedName name="Load2">#REF!</definedName>
    <definedName name="Load3" localSheetId="0">#REF!</definedName>
    <definedName name="Load3">#REF!</definedName>
    <definedName name="Load4" localSheetId="0">#REF!</definedName>
    <definedName name="Load4">#REF!</definedName>
    <definedName name="Load5" localSheetId="0">#REF!</definedName>
    <definedName name="Load5">#REF!</definedName>
    <definedName name="Load6" localSheetId="0">#REF!</definedName>
    <definedName name="Load6">#REF!</definedName>
    <definedName name="Load7" localSheetId="0">#REF!</definedName>
    <definedName name="Load7">#REF!</definedName>
    <definedName name="Load8" localSheetId="0">#REF!</definedName>
    <definedName name="Load8">#REF!</definedName>
    <definedName name="Load9" localSheetId="0">#REF!</definedName>
    <definedName name="Load9">#REF!</definedName>
    <definedName name="Max10Array" localSheetId="0">#REF!</definedName>
    <definedName name="Max10Array">#REF!</definedName>
    <definedName name="Max2array" localSheetId="0">#REF!</definedName>
    <definedName name="Max2array">#REF!</definedName>
    <definedName name="Max3array" localSheetId="0">#REF!</definedName>
    <definedName name="Max3array">#REF!</definedName>
    <definedName name="Max4array" localSheetId="0">#REF!</definedName>
    <definedName name="Max4array">#REF!</definedName>
    <definedName name="Max5array" localSheetId="0">#REF!</definedName>
    <definedName name="Max5array">#REF!</definedName>
    <definedName name="Max6array" localSheetId="0">#REF!</definedName>
    <definedName name="Max6array">#REF!</definedName>
    <definedName name="Max7Array" localSheetId="0">#REF!</definedName>
    <definedName name="Max7Array">#REF!</definedName>
    <definedName name="Max8Array" localSheetId="0">#REF!</definedName>
    <definedName name="Max8Array">#REF!</definedName>
    <definedName name="Max9Array" localSheetId="0">#REF!</definedName>
    <definedName name="Max9Array">#REF!</definedName>
    <definedName name="MaxCol" localSheetId="0">#REF!</definedName>
    <definedName name="MaxCol">#REF!</definedName>
    <definedName name="MaxLoad">'[1]NIOSH Lifting Equation'!$D$43</definedName>
    <definedName name="maxload1" localSheetId="0">#REF!</definedName>
    <definedName name="maxload1">#REF!</definedName>
    <definedName name="maxload10" localSheetId="0">#REF!</definedName>
    <definedName name="maxload10">#REF!</definedName>
    <definedName name="maxload2" localSheetId="0">#REF!</definedName>
    <definedName name="maxload2">#REF!</definedName>
    <definedName name="maxload3" localSheetId="0">#REF!</definedName>
    <definedName name="maxload3">#REF!</definedName>
    <definedName name="maxload4" localSheetId="0">#REF!</definedName>
    <definedName name="maxload4">#REF!</definedName>
    <definedName name="maxload5" localSheetId="0">#REF!</definedName>
    <definedName name="maxload5">#REF!</definedName>
    <definedName name="maxload6" localSheetId="0">#REF!</definedName>
    <definedName name="maxload6">#REF!</definedName>
    <definedName name="maxload7" localSheetId="0">#REF!</definedName>
    <definedName name="maxload7">#REF!</definedName>
    <definedName name="maxload8" localSheetId="0">#REF!</definedName>
    <definedName name="maxload8">#REF!</definedName>
    <definedName name="maxload9" localSheetId="0">#REF!</definedName>
    <definedName name="maxload9">#REF!</definedName>
    <definedName name="maxstli" localSheetId="0">#REF!</definedName>
    <definedName name="maxstli">#REF!</definedName>
    <definedName name="mfirwl">'[1]NIOSH Lifting Equation'!$L$33</definedName>
    <definedName name="MOBILIÁRIO_E_EQUIPAMENTOS">Planilha11!$B$1:$B$11</definedName>
    <definedName name="MRWL">'[1]NIOSH Lifting Equation - METRIC'!$L$22</definedName>
    <definedName name="ORGANIZACIONAIS">Planilha11!$C$1:$C$12</definedName>
    <definedName name="PERCENT_LIFT" localSheetId="0">#REF!</definedName>
    <definedName name="PERCENT_LIFT">#REF!</definedName>
    <definedName name="PERCENTAGE" localSheetId="0">#REF!</definedName>
    <definedName name="PERCENTAGE">#REF!</definedName>
    <definedName name="PSICOSSOCIAIS_E_COGNITIVOS">Planilha11!$E$1:$E$13</definedName>
    <definedName name="STLI1" localSheetId="0">#REF!</definedName>
    <definedName name="STLI1">#REF!</definedName>
    <definedName name="STLI10" localSheetId="0">#REF!</definedName>
    <definedName name="STLI10">#REF!</definedName>
    <definedName name="STLI2" localSheetId="0">#REF!</definedName>
    <definedName name="STLI2">#REF!</definedName>
    <definedName name="STLI3" localSheetId="0">#REF!</definedName>
    <definedName name="STLI3">#REF!</definedName>
    <definedName name="STLI4" localSheetId="0">#REF!</definedName>
    <definedName name="STLI4">#REF!</definedName>
    <definedName name="STLI5" localSheetId="0">#REF!</definedName>
    <definedName name="STLI5">#REF!</definedName>
    <definedName name="STLI6" localSheetId="0">#REF!</definedName>
    <definedName name="STLI6">#REF!</definedName>
    <definedName name="STLI7" localSheetId="0">#REF!</definedName>
    <definedName name="STLI7">#REF!</definedName>
    <definedName name="STLI8" localSheetId="0">#REF!</definedName>
    <definedName name="STLI8">#REF!</definedName>
    <definedName name="STLI9" localSheetId="0">#REF!</definedName>
    <definedName name="STLI9">#REF!</definedName>
    <definedName name="STRWL1" localSheetId="0">#REF!</definedName>
    <definedName name="STRWL1">#REF!</definedName>
    <definedName name="STRWL10" localSheetId="0">#REF!</definedName>
    <definedName name="STRWL10">#REF!</definedName>
    <definedName name="STRWL2" localSheetId="0">#REF!</definedName>
    <definedName name="STRWL2">#REF!</definedName>
    <definedName name="STRWL3" localSheetId="0">#REF!</definedName>
    <definedName name="STRWL3">#REF!</definedName>
    <definedName name="STRWL4" localSheetId="0">#REF!</definedName>
    <definedName name="STRWL4">#REF!</definedName>
    <definedName name="STRWL5" localSheetId="0">#REF!</definedName>
    <definedName name="STRWL5">#REF!</definedName>
    <definedName name="STRWL6" localSheetId="0">#REF!</definedName>
    <definedName name="STRWL6">#REF!</definedName>
    <definedName name="STRWL7" localSheetId="0">#REF!</definedName>
    <definedName name="STRWL7">#REF!</definedName>
    <definedName name="STRWL8" localSheetId="0">#REF!</definedName>
    <definedName name="STRWL8">#REF!</definedName>
    <definedName name="STRWL9" localSheetId="0">#REF!</definedName>
    <definedName name="STRWL9">#REF!</definedName>
    <definedName name="Sum.Freq1" localSheetId="0">#REF!</definedName>
    <definedName name="Sum.Freq1">#REF!</definedName>
    <definedName name="Sum.Freq10" localSheetId="0">#REF!</definedName>
    <definedName name="Sum.Freq10">#REF!</definedName>
    <definedName name="Sum.Freq2" localSheetId="0">#REF!</definedName>
    <definedName name="Sum.Freq2">#REF!</definedName>
    <definedName name="Sum.Freq3" localSheetId="0">#REF!</definedName>
    <definedName name="Sum.Freq3">#REF!</definedName>
    <definedName name="Sum.Freq4" localSheetId="0">#REF!</definedName>
    <definedName name="Sum.Freq4">#REF!</definedName>
    <definedName name="Sum.Freq5" localSheetId="0">#REF!</definedName>
    <definedName name="Sum.Freq5">#REF!</definedName>
    <definedName name="Sum.Freq6" localSheetId="0">#REF!</definedName>
    <definedName name="Sum.Freq6">#REF!</definedName>
    <definedName name="Sum.Freq7" localSheetId="0">#REF!</definedName>
    <definedName name="Sum.Freq7">#REF!</definedName>
    <definedName name="Sum.Freq8" localSheetId="0">#REF!</definedName>
    <definedName name="Sum.Freq8">#REF!</definedName>
    <definedName name="Sum.Freq9" localSheetId="0">#REF!</definedName>
    <definedName name="Sum.Freq9">#REF!</definedName>
    <definedName name="TravDist">'[1]NIOSH Lifting Equation'!$D$26</definedName>
    <definedName name="TravDist1" localSheetId="0">#REF!</definedName>
    <definedName name="TravDist1">#REF!</definedName>
    <definedName name="TravDist10" localSheetId="0">#REF!</definedName>
    <definedName name="TravDist10">#REF!</definedName>
    <definedName name="TravDist2" localSheetId="0">#REF!</definedName>
    <definedName name="TravDist2">#REF!</definedName>
    <definedName name="TravDist3" localSheetId="0">#REF!</definedName>
    <definedName name="TravDist3">#REF!</definedName>
    <definedName name="TravDist4" localSheetId="0">#REF!</definedName>
    <definedName name="TravDist4">#REF!</definedName>
    <definedName name="TravDist5" localSheetId="0">#REF!</definedName>
    <definedName name="TravDist5">#REF!</definedName>
    <definedName name="TravDist6" localSheetId="0">#REF!</definedName>
    <definedName name="TravDist6">#REF!</definedName>
    <definedName name="TravDist7" localSheetId="0">#REF!</definedName>
    <definedName name="TravDist7">#REF!</definedName>
    <definedName name="TravDist8" localSheetId="0">#REF!</definedName>
    <definedName name="TravDist8">#REF!</definedName>
    <definedName name="TravDist9" localSheetId="0">#REF!</definedName>
    <definedName name="TravDist9">#REF!</definedName>
    <definedName name="VertLoc">'[1]NIOSH Lifting Equation'!$D$23</definedName>
    <definedName name="VertLoc1" localSheetId="0">#REF!</definedName>
    <definedName name="VertLoc1">#REF!</definedName>
    <definedName name="VertLoc10" localSheetId="0">#REF!</definedName>
    <definedName name="VertLoc10">#REF!</definedName>
    <definedName name="VertLoc2" localSheetId="0">#REF!</definedName>
    <definedName name="VertLoc2">#REF!</definedName>
    <definedName name="VertLoc3" localSheetId="0">#REF!</definedName>
    <definedName name="VertLoc3">#REF!</definedName>
    <definedName name="VertLoc4" localSheetId="0">#REF!</definedName>
    <definedName name="VertLoc4">#REF!</definedName>
    <definedName name="VertLoc5" localSheetId="0">#REF!</definedName>
    <definedName name="VertLoc5">#REF!</definedName>
    <definedName name="VertLoc6" localSheetId="0">#REF!</definedName>
    <definedName name="VertLoc6">#REF!</definedName>
    <definedName name="VertLoc7" localSheetId="0">#REF!</definedName>
    <definedName name="VertLoc7">#REF!</definedName>
    <definedName name="VertLoc8" localSheetId="0">#REF!</definedName>
    <definedName name="VertLoc8">#REF!</definedName>
    <definedName name="VertLoc9" localSheetId="0">#REF!</definedName>
    <definedName name="VertLoc9">#REF!</definedName>
    <definedName name="VM">'[1]NIOSH Lifting Equation'!$H$23</definedName>
    <definedName name="VM.1" localSheetId="0">#REF!</definedName>
    <definedName name="VM.1">#REF!</definedName>
    <definedName name="VM.10" localSheetId="0">#REF!</definedName>
    <definedName name="VM.10">#REF!</definedName>
    <definedName name="VM.2" localSheetId="0">#REF!</definedName>
    <definedName name="VM.2">#REF!</definedName>
    <definedName name="VM.3" localSheetId="0">#REF!</definedName>
    <definedName name="VM.3">#REF!</definedName>
    <definedName name="VM.4" localSheetId="0">#REF!</definedName>
    <definedName name="VM.4">#REF!</definedName>
    <definedName name="VM.5" localSheetId="0">#REF!</definedName>
    <definedName name="VM.5">#REF!</definedName>
    <definedName name="VM.6" localSheetId="0">#REF!</definedName>
    <definedName name="VM.6">#REF!</definedName>
    <definedName name="VM.7" localSheetId="0">#REF!</definedName>
    <definedName name="VM.7">#REF!</definedName>
    <definedName name="VM.8" localSheetId="0">#REF!</definedName>
    <definedName name="VM.8">#REF!</definedName>
    <definedName name="VM.9" localSheetId="0">#REF!</definedName>
    <definedName name="VM.9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10" i="1" l="1"/>
  <c r="CN10" i="1"/>
  <c r="CP10" i="1" s="1"/>
  <c r="CQ10" i="1" s="1"/>
  <c r="CO10" i="1"/>
  <c r="CT10" i="1"/>
  <c r="CW10" i="1" s="1"/>
  <c r="CX10" i="1" s="1"/>
  <c r="CV10" i="1"/>
  <c r="CM11" i="1"/>
  <c r="CN11" i="1"/>
  <c r="CO11" i="1"/>
  <c r="CY11" i="1" s="1"/>
  <c r="CZ11" i="1" s="1"/>
  <c r="CP11" i="1"/>
  <c r="CQ11" i="1" s="1"/>
  <c r="CT11" i="1"/>
  <c r="CV11" i="1"/>
  <c r="CW11" i="1"/>
  <c r="CX11" i="1" s="1"/>
  <c r="CM12" i="1"/>
  <c r="CN12" i="1"/>
  <c r="CO12" i="1"/>
  <c r="CP12" i="1" s="1"/>
  <c r="CQ12" i="1" s="1"/>
  <c r="CT12" i="1"/>
  <c r="CV12" i="1"/>
  <c r="CW12" i="1"/>
  <c r="CX12" i="1"/>
  <c r="CM13" i="1"/>
  <c r="CN13" i="1"/>
  <c r="CP13" i="1" s="1"/>
  <c r="CQ13" i="1" s="1"/>
  <c r="CO13" i="1"/>
  <c r="CT13" i="1"/>
  <c r="CW13" i="1" s="1"/>
  <c r="CX13" i="1" s="1"/>
  <c r="CY13" i="1" s="1"/>
  <c r="CZ13" i="1" s="1"/>
  <c r="CV13" i="1"/>
  <c r="CM14" i="1"/>
  <c r="CN14" i="1"/>
  <c r="CP14" i="1" s="1"/>
  <c r="CQ14" i="1" s="1"/>
  <c r="CO14" i="1"/>
  <c r="CT14" i="1"/>
  <c r="CW14" i="1" s="1"/>
  <c r="CX14" i="1" s="1"/>
  <c r="CV14" i="1"/>
  <c r="CM15" i="1"/>
  <c r="CN15" i="1"/>
  <c r="CO15" i="1"/>
  <c r="CY15" i="1" s="1"/>
  <c r="CZ15" i="1" s="1"/>
  <c r="CP15" i="1"/>
  <c r="CQ15" i="1" s="1"/>
  <c r="CT15" i="1"/>
  <c r="CV15" i="1"/>
  <c r="CW15" i="1"/>
  <c r="CX15" i="1" s="1"/>
  <c r="CM16" i="1"/>
  <c r="CN16" i="1"/>
  <c r="CO16" i="1"/>
  <c r="CT16" i="1"/>
  <c r="CW16" i="1" s="1"/>
  <c r="CX16" i="1" s="1"/>
  <c r="CV16" i="1"/>
  <c r="CM17" i="1"/>
  <c r="CN17" i="1"/>
  <c r="CP17" i="1" s="1"/>
  <c r="CQ17" i="1" s="1"/>
  <c r="CO17" i="1"/>
  <c r="CT17" i="1"/>
  <c r="CW17" i="1" s="1"/>
  <c r="CX17" i="1" s="1"/>
  <c r="CY17" i="1" s="1"/>
  <c r="CZ17" i="1" s="1"/>
  <c r="CV17" i="1"/>
  <c r="CM18" i="1"/>
  <c r="CN18" i="1"/>
  <c r="CP18" i="1" s="1"/>
  <c r="CQ18" i="1" s="1"/>
  <c r="CO18" i="1"/>
  <c r="CT18" i="1"/>
  <c r="CW18" i="1" s="1"/>
  <c r="CX18" i="1" s="1"/>
  <c r="CV18" i="1"/>
  <c r="CM19" i="1"/>
  <c r="CN19" i="1"/>
  <c r="CO19" i="1"/>
  <c r="CP19" i="1"/>
  <c r="CQ19" i="1" s="1"/>
  <c r="CT19" i="1"/>
  <c r="CV19" i="1"/>
  <c r="CW19" i="1"/>
  <c r="CX19" i="1" s="1"/>
  <c r="CM20" i="1"/>
  <c r="CN20" i="1"/>
  <c r="CP20" i="1" s="1"/>
  <c r="CQ20" i="1" s="1"/>
  <c r="CO20" i="1"/>
  <c r="CT20" i="1"/>
  <c r="CV20" i="1"/>
  <c r="CW20" i="1"/>
  <c r="CX20" i="1"/>
  <c r="CY20" i="1" s="1"/>
  <c r="CZ20" i="1" s="1"/>
  <c r="CM21" i="1"/>
  <c r="CN21" i="1"/>
  <c r="CP21" i="1" s="1"/>
  <c r="CQ21" i="1" s="1"/>
  <c r="CO21" i="1"/>
  <c r="CT21" i="1"/>
  <c r="CW21" i="1" s="1"/>
  <c r="CX21" i="1" s="1"/>
  <c r="CY21" i="1" s="1"/>
  <c r="CZ21" i="1" s="1"/>
  <c r="CV21" i="1"/>
  <c r="CM22" i="1"/>
  <c r="CN22" i="1"/>
  <c r="CP22" i="1" s="1"/>
  <c r="CQ22" i="1" s="1"/>
  <c r="CO22" i="1"/>
  <c r="CT22" i="1"/>
  <c r="CW22" i="1" s="1"/>
  <c r="CX22" i="1" s="1"/>
  <c r="CV22" i="1"/>
  <c r="CM23" i="1"/>
  <c r="CN23" i="1"/>
  <c r="CO23" i="1"/>
  <c r="CP23" i="1"/>
  <c r="CQ23" i="1" s="1"/>
  <c r="CT23" i="1"/>
  <c r="CV23" i="1"/>
  <c r="CW23" i="1"/>
  <c r="CX23" i="1" s="1"/>
  <c r="CM24" i="1"/>
  <c r="CN24" i="1"/>
  <c r="CO24" i="1"/>
  <c r="CY24" i="1" s="1"/>
  <c r="CZ24" i="1" s="1"/>
  <c r="CT24" i="1"/>
  <c r="CW24" i="1" s="1"/>
  <c r="CX24" i="1" s="1"/>
  <c r="CV24" i="1"/>
  <c r="CM25" i="1"/>
  <c r="CN25" i="1"/>
  <c r="CP25" i="1" s="1"/>
  <c r="CQ25" i="1" s="1"/>
  <c r="CO25" i="1"/>
  <c r="CT25" i="1"/>
  <c r="CW25" i="1" s="1"/>
  <c r="CX25" i="1" s="1"/>
  <c r="CY25" i="1" s="1"/>
  <c r="CZ25" i="1" s="1"/>
  <c r="CV25" i="1"/>
  <c r="CM26" i="1"/>
  <c r="CN26" i="1"/>
  <c r="CP26" i="1" s="1"/>
  <c r="CQ26" i="1" s="1"/>
  <c r="CO26" i="1"/>
  <c r="CT26" i="1"/>
  <c r="CW26" i="1" s="1"/>
  <c r="CX26" i="1" s="1"/>
  <c r="CV26" i="1"/>
  <c r="CF5" i="1"/>
  <c r="CC5" i="1"/>
  <c r="BI10" i="1"/>
  <c r="BI11" i="1"/>
  <c r="BI12" i="1"/>
  <c r="BI13" i="1"/>
  <c r="BI14" i="1"/>
  <c r="BI15" i="1"/>
  <c r="BI16" i="1"/>
  <c r="BI17" i="1"/>
  <c r="BI18" i="1"/>
  <c r="BI19" i="1"/>
  <c r="CY23" i="1" l="1"/>
  <c r="CZ23" i="1" s="1"/>
  <c r="CY19" i="1"/>
  <c r="CZ19" i="1" s="1"/>
  <c r="CY16" i="1"/>
  <c r="CZ16" i="1" s="1"/>
  <c r="CY14" i="1"/>
  <c r="CZ14" i="1" s="1"/>
  <c r="CY10" i="1"/>
  <c r="CZ10" i="1" s="1"/>
  <c r="CY26" i="1"/>
  <c r="CZ26" i="1" s="1"/>
  <c r="CY22" i="1"/>
  <c r="CZ22" i="1" s="1"/>
  <c r="CY18" i="1"/>
  <c r="CZ18" i="1" s="1"/>
  <c r="CY12" i="1"/>
  <c r="CZ12" i="1" s="1"/>
  <c r="CP24" i="1"/>
  <c r="CQ24" i="1" s="1"/>
  <c r="CP16" i="1"/>
  <c r="CQ16" i="1" s="1"/>
  <c r="AM9" i="1"/>
  <c r="AM10" i="1"/>
  <c r="AM11" i="1"/>
  <c r="AM12" i="1"/>
  <c r="AM13" i="1"/>
  <c r="AM14" i="1"/>
  <c r="AM15" i="1"/>
  <c r="AM16" i="1"/>
  <c r="AM17" i="1"/>
  <c r="AM18" i="1"/>
  <c r="AM19" i="1"/>
  <c r="BV22" i="1"/>
  <c r="BV23" i="1"/>
  <c r="BV24" i="1"/>
  <c r="BV25" i="1"/>
  <c r="BV26" i="1"/>
  <c r="BI22" i="1"/>
  <c r="BI23" i="1"/>
  <c r="I18" i="7" s="1"/>
  <c r="BI24" i="1"/>
  <c r="I19" i="7" s="1"/>
  <c r="BI25" i="1"/>
  <c r="I20" i="7" s="1"/>
  <c r="BI26" i="1"/>
  <c r="AM20" i="1"/>
  <c r="AM21" i="1"/>
  <c r="AM22" i="1"/>
  <c r="AM23" i="1"/>
  <c r="AM24" i="1"/>
  <c r="AM25" i="1"/>
  <c r="AM26" i="1"/>
  <c r="J13" i="7"/>
  <c r="J14" i="7"/>
  <c r="M14" i="7"/>
  <c r="J15" i="7"/>
  <c r="J16" i="7"/>
  <c r="J17" i="7"/>
  <c r="J18" i="7"/>
  <c r="J19" i="7"/>
  <c r="J20" i="7"/>
  <c r="I21" i="7"/>
  <c r="K21" i="7" s="1"/>
  <c r="BQ26" i="1" s="1"/>
  <c r="J21" i="7"/>
  <c r="H22" i="7"/>
  <c r="I22" i="7"/>
  <c r="J22" i="7"/>
  <c r="K22" i="7"/>
  <c r="L22" i="7"/>
  <c r="M22" i="7"/>
  <c r="H23" i="7"/>
  <c r="I23" i="7"/>
  <c r="J23" i="7"/>
  <c r="L23" i="7"/>
  <c r="M23" i="7"/>
  <c r="H24" i="7"/>
  <c r="I24" i="7"/>
  <c r="J24" i="7"/>
  <c r="L24" i="7"/>
  <c r="M24" i="7"/>
  <c r="H25" i="7"/>
  <c r="I25" i="7"/>
  <c r="K25" i="7" s="1"/>
  <c r="J25" i="7"/>
  <c r="L25" i="7"/>
  <c r="N25" i="7" s="1"/>
  <c r="M25" i="7"/>
  <c r="H26" i="7"/>
  <c r="I26" i="7"/>
  <c r="J26" i="7"/>
  <c r="K26" i="7" s="1"/>
  <c r="L26" i="7"/>
  <c r="M26" i="7"/>
  <c r="H27" i="7"/>
  <c r="I27" i="7"/>
  <c r="J27" i="7"/>
  <c r="L27" i="7"/>
  <c r="M27" i="7"/>
  <c r="H28" i="7"/>
  <c r="I28" i="7"/>
  <c r="K28" i="7" s="1"/>
  <c r="J28" i="7"/>
  <c r="L28" i="7"/>
  <c r="N28" i="7" s="1"/>
  <c r="M28" i="7"/>
  <c r="H29" i="7"/>
  <c r="I29" i="7"/>
  <c r="J29" i="7"/>
  <c r="L29" i="7"/>
  <c r="M29" i="7"/>
  <c r="H30" i="7"/>
  <c r="I30" i="7"/>
  <c r="K30" i="7" s="1"/>
  <c r="J30" i="7"/>
  <c r="L30" i="7"/>
  <c r="N30" i="7" s="1"/>
  <c r="M30" i="7"/>
  <c r="H31" i="7"/>
  <c r="I31" i="7"/>
  <c r="J31" i="7"/>
  <c r="L31" i="7"/>
  <c r="M31" i="7"/>
  <c r="H32" i="7"/>
  <c r="I32" i="7"/>
  <c r="J32" i="7"/>
  <c r="L32" i="7"/>
  <c r="M32" i="7"/>
  <c r="H33" i="7"/>
  <c r="I33" i="7"/>
  <c r="J33" i="7"/>
  <c r="L33" i="7"/>
  <c r="M33" i="7"/>
  <c r="H34" i="7"/>
  <c r="I34" i="7"/>
  <c r="J34" i="7"/>
  <c r="L34" i="7"/>
  <c r="N34" i="7" s="1"/>
  <c r="M34" i="7"/>
  <c r="H35" i="7"/>
  <c r="I35" i="7"/>
  <c r="J35" i="7"/>
  <c r="L35" i="7"/>
  <c r="M35" i="7"/>
  <c r="H36" i="7"/>
  <c r="I36" i="7"/>
  <c r="K36" i="7" s="1"/>
  <c r="J36" i="7"/>
  <c r="L36" i="7"/>
  <c r="N36" i="7" s="1"/>
  <c r="M36" i="7"/>
  <c r="H37" i="7"/>
  <c r="I37" i="7"/>
  <c r="J37" i="7"/>
  <c r="L37" i="7"/>
  <c r="M37" i="7"/>
  <c r="H38" i="7"/>
  <c r="I38" i="7"/>
  <c r="J38" i="7"/>
  <c r="L38" i="7"/>
  <c r="M38" i="7"/>
  <c r="N38" i="7"/>
  <c r="H39" i="7"/>
  <c r="I39" i="7"/>
  <c r="J39" i="7"/>
  <c r="L39" i="7"/>
  <c r="M39" i="7"/>
  <c r="H40" i="7"/>
  <c r="I40" i="7"/>
  <c r="J40" i="7"/>
  <c r="L40" i="7"/>
  <c r="M40" i="7"/>
  <c r="H41" i="7"/>
  <c r="I41" i="7"/>
  <c r="J41" i="7"/>
  <c r="L41" i="7"/>
  <c r="M41" i="7"/>
  <c r="H42" i="7"/>
  <c r="I42" i="7"/>
  <c r="J42" i="7"/>
  <c r="L42" i="7"/>
  <c r="M42" i="7"/>
  <c r="H43" i="7"/>
  <c r="I43" i="7"/>
  <c r="K43" i="7" s="1"/>
  <c r="J43" i="7"/>
  <c r="L43" i="7"/>
  <c r="M43" i="7"/>
  <c r="H44" i="7"/>
  <c r="I44" i="7"/>
  <c r="K44" i="7" s="1"/>
  <c r="J44" i="7"/>
  <c r="L44" i="7"/>
  <c r="N44" i="7" s="1"/>
  <c r="M44" i="7"/>
  <c r="H45" i="7"/>
  <c r="I45" i="7"/>
  <c r="J45" i="7"/>
  <c r="L45" i="7"/>
  <c r="M45" i="7"/>
  <c r="H46" i="7"/>
  <c r="I46" i="7"/>
  <c r="K46" i="7" s="1"/>
  <c r="J46" i="7"/>
  <c r="L46" i="7"/>
  <c r="M46" i="7"/>
  <c r="H47" i="7"/>
  <c r="I47" i="7"/>
  <c r="J47" i="7"/>
  <c r="L47" i="7"/>
  <c r="M47" i="7"/>
  <c r="H48" i="7"/>
  <c r="I48" i="7"/>
  <c r="J48" i="7"/>
  <c r="L48" i="7"/>
  <c r="M48" i="7"/>
  <c r="H49" i="7"/>
  <c r="I49" i="7"/>
  <c r="J49" i="7"/>
  <c r="L49" i="7"/>
  <c r="M49" i="7"/>
  <c r="H50" i="7"/>
  <c r="I50" i="7"/>
  <c r="J50" i="7"/>
  <c r="K50" i="7"/>
  <c r="L50" i="7"/>
  <c r="M50" i="7"/>
  <c r="H51" i="7"/>
  <c r="I51" i="7"/>
  <c r="J51" i="7"/>
  <c r="L51" i="7"/>
  <c r="M51" i="7"/>
  <c r="H52" i="7"/>
  <c r="I52" i="7"/>
  <c r="J52" i="7"/>
  <c r="L52" i="7"/>
  <c r="N52" i="7" s="1"/>
  <c r="M52" i="7"/>
  <c r="H53" i="7"/>
  <c r="I53" i="7"/>
  <c r="J53" i="7"/>
  <c r="L53" i="7"/>
  <c r="N53" i="7" s="1"/>
  <c r="M53" i="7"/>
  <c r="H54" i="7"/>
  <c r="I54" i="7"/>
  <c r="K54" i="7" s="1"/>
  <c r="J54" i="7"/>
  <c r="L54" i="7"/>
  <c r="M54" i="7"/>
  <c r="H55" i="7"/>
  <c r="I55" i="7"/>
  <c r="J55" i="7"/>
  <c r="L55" i="7"/>
  <c r="M55" i="7"/>
  <c r="H56" i="7"/>
  <c r="I56" i="7"/>
  <c r="J56" i="7"/>
  <c r="L56" i="7"/>
  <c r="M56" i="7"/>
  <c r="H57" i="7"/>
  <c r="I57" i="7"/>
  <c r="J57" i="7"/>
  <c r="L57" i="7"/>
  <c r="M57" i="7"/>
  <c r="N57" i="7" s="1"/>
  <c r="H58" i="7"/>
  <c r="I58" i="7"/>
  <c r="J58" i="7"/>
  <c r="L58" i="7"/>
  <c r="M58" i="7"/>
  <c r="H59" i="7"/>
  <c r="I59" i="7"/>
  <c r="J59" i="7"/>
  <c r="L59" i="7"/>
  <c r="M59" i="7"/>
  <c r="H60" i="7"/>
  <c r="I60" i="7"/>
  <c r="J60" i="7"/>
  <c r="L60" i="7"/>
  <c r="M60" i="7"/>
  <c r="H61" i="7"/>
  <c r="I61" i="7"/>
  <c r="J61" i="7"/>
  <c r="L61" i="7"/>
  <c r="M61" i="7"/>
  <c r="H62" i="7"/>
  <c r="I62" i="7"/>
  <c r="K62" i="7" s="1"/>
  <c r="J62" i="7"/>
  <c r="L62" i="7"/>
  <c r="M62" i="7"/>
  <c r="H63" i="7"/>
  <c r="I63" i="7"/>
  <c r="K63" i="7" s="1"/>
  <c r="J63" i="7"/>
  <c r="L63" i="7"/>
  <c r="M63" i="7"/>
  <c r="H64" i="7"/>
  <c r="I64" i="7"/>
  <c r="J64" i="7"/>
  <c r="L64" i="7"/>
  <c r="M64" i="7"/>
  <c r="H65" i="7"/>
  <c r="I65" i="7"/>
  <c r="J65" i="7"/>
  <c r="L65" i="7"/>
  <c r="M65" i="7"/>
  <c r="N65" i="7" s="1"/>
  <c r="H66" i="7"/>
  <c r="I66" i="7"/>
  <c r="J66" i="7"/>
  <c r="L66" i="7"/>
  <c r="M66" i="7"/>
  <c r="H67" i="7"/>
  <c r="I67" i="7"/>
  <c r="J67" i="7"/>
  <c r="L67" i="7"/>
  <c r="M67" i="7"/>
  <c r="H68" i="7"/>
  <c r="I68" i="7"/>
  <c r="J68" i="7"/>
  <c r="L68" i="7"/>
  <c r="N68" i="7" s="1"/>
  <c r="M68" i="7"/>
  <c r="H69" i="7"/>
  <c r="I69" i="7"/>
  <c r="J69" i="7"/>
  <c r="L69" i="7"/>
  <c r="N69" i="7" s="1"/>
  <c r="M69" i="7"/>
  <c r="H70" i="7"/>
  <c r="I70" i="7"/>
  <c r="K70" i="7" s="1"/>
  <c r="J70" i="7"/>
  <c r="L70" i="7"/>
  <c r="M70" i="7"/>
  <c r="H71" i="7"/>
  <c r="I71" i="7"/>
  <c r="J71" i="7"/>
  <c r="L71" i="7"/>
  <c r="M71" i="7"/>
  <c r="H72" i="7"/>
  <c r="I72" i="7"/>
  <c r="J72" i="7"/>
  <c r="L72" i="7"/>
  <c r="M72" i="7"/>
  <c r="H73" i="7"/>
  <c r="I73" i="7"/>
  <c r="J73" i="7"/>
  <c r="L73" i="7"/>
  <c r="M73" i="7"/>
  <c r="H74" i="7"/>
  <c r="I74" i="7"/>
  <c r="J74" i="7"/>
  <c r="L74" i="7"/>
  <c r="M74" i="7"/>
  <c r="H75" i="7"/>
  <c r="I75" i="7"/>
  <c r="J75" i="7"/>
  <c r="L75" i="7"/>
  <c r="M75" i="7"/>
  <c r="H76" i="7"/>
  <c r="I76" i="7"/>
  <c r="J76" i="7"/>
  <c r="L76" i="7"/>
  <c r="M76" i="7"/>
  <c r="H77" i="7"/>
  <c r="I77" i="7"/>
  <c r="J77" i="7"/>
  <c r="L77" i="7"/>
  <c r="M77" i="7"/>
  <c r="H78" i="7"/>
  <c r="I78" i="7"/>
  <c r="K78" i="7" s="1"/>
  <c r="J78" i="7"/>
  <c r="L78" i="7"/>
  <c r="M78" i="7"/>
  <c r="H79" i="7"/>
  <c r="I79" i="7"/>
  <c r="J79" i="7"/>
  <c r="L79" i="7"/>
  <c r="M79" i="7"/>
  <c r="H80" i="7"/>
  <c r="I80" i="7"/>
  <c r="J80" i="7"/>
  <c r="L80" i="7"/>
  <c r="M80" i="7"/>
  <c r="H81" i="7"/>
  <c r="I81" i="7"/>
  <c r="J81" i="7"/>
  <c r="L81" i="7"/>
  <c r="M81" i="7"/>
  <c r="H82" i="7"/>
  <c r="I82" i="7"/>
  <c r="J82" i="7"/>
  <c r="L82" i="7"/>
  <c r="M82" i="7"/>
  <c r="H83" i="7"/>
  <c r="I83" i="7"/>
  <c r="J83" i="7"/>
  <c r="L83" i="7"/>
  <c r="M83" i="7"/>
  <c r="H84" i="7"/>
  <c r="I84" i="7"/>
  <c r="J84" i="7"/>
  <c r="L84" i="7"/>
  <c r="M84" i="7"/>
  <c r="H85" i="7"/>
  <c r="I85" i="7"/>
  <c r="J85" i="7"/>
  <c r="L85" i="7"/>
  <c r="M85" i="7"/>
  <c r="H86" i="7"/>
  <c r="I86" i="7"/>
  <c r="J86" i="7"/>
  <c r="L86" i="7"/>
  <c r="M86" i="7"/>
  <c r="H87" i="7"/>
  <c r="I87" i="7"/>
  <c r="J87" i="7"/>
  <c r="L87" i="7"/>
  <c r="M87" i="7"/>
  <c r="H88" i="7"/>
  <c r="I88" i="7"/>
  <c r="J88" i="7"/>
  <c r="L88" i="7"/>
  <c r="M88" i="7"/>
  <c r="H89" i="7"/>
  <c r="I89" i="7"/>
  <c r="K89" i="7" s="1"/>
  <c r="J89" i="7"/>
  <c r="L89" i="7"/>
  <c r="M89" i="7"/>
  <c r="N89" i="7" s="1"/>
  <c r="H90" i="7"/>
  <c r="I90" i="7"/>
  <c r="J90" i="7"/>
  <c r="L90" i="7"/>
  <c r="M90" i="7"/>
  <c r="H91" i="7"/>
  <c r="I91" i="7"/>
  <c r="J91" i="7"/>
  <c r="K91" i="7" s="1"/>
  <c r="L91" i="7"/>
  <c r="M91" i="7"/>
  <c r="H92" i="7"/>
  <c r="I92" i="7"/>
  <c r="J92" i="7"/>
  <c r="K92" i="7" s="1"/>
  <c r="L92" i="7"/>
  <c r="M92" i="7"/>
  <c r="H93" i="7"/>
  <c r="I93" i="7"/>
  <c r="J93" i="7"/>
  <c r="L93" i="7"/>
  <c r="M93" i="7"/>
  <c r="H94" i="7"/>
  <c r="I94" i="7"/>
  <c r="J94" i="7"/>
  <c r="K94" i="7" s="1"/>
  <c r="L94" i="7"/>
  <c r="M94" i="7"/>
  <c r="H95" i="7"/>
  <c r="I95" i="7"/>
  <c r="J95" i="7"/>
  <c r="L95" i="7"/>
  <c r="M95" i="7"/>
  <c r="H96" i="7"/>
  <c r="I96" i="7"/>
  <c r="J96" i="7"/>
  <c r="L96" i="7"/>
  <c r="M96" i="7"/>
  <c r="H97" i="7"/>
  <c r="I97" i="7"/>
  <c r="J97" i="7"/>
  <c r="L97" i="7"/>
  <c r="M97" i="7"/>
  <c r="H98" i="7"/>
  <c r="I98" i="7"/>
  <c r="J98" i="7"/>
  <c r="L98" i="7"/>
  <c r="M98" i="7"/>
  <c r="H99" i="7"/>
  <c r="I99" i="7"/>
  <c r="J99" i="7"/>
  <c r="L99" i="7"/>
  <c r="M99" i="7"/>
  <c r="H100" i="7"/>
  <c r="I100" i="7"/>
  <c r="J100" i="7"/>
  <c r="K100" i="7" s="1"/>
  <c r="L100" i="7"/>
  <c r="M100" i="7"/>
  <c r="N100" i="7" s="1"/>
  <c r="H101" i="7"/>
  <c r="I101" i="7"/>
  <c r="J101" i="7"/>
  <c r="L101" i="7"/>
  <c r="M101" i="7"/>
  <c r="H102" i="7"/>
  <c r="I102" i="7"/>
  <c r="J102" i="7"/>
  <c r="L102" i="7"/>
  <c r="N102" i="7" s="1"/>
  <c r="M102" i="7"/>
  <c r="H103" i="7"/>
  <c r="I103" i="7"/>
  <c r="J103" i="7"/>
  <c r="L103" i="7"/>
  <c r="M103" i="7"/>
  <c r="H104" i="7"/>
  <c r="I104" i="7"/>
  <c r="K104" i="7" s="1"/>
  <c r="J104" i="7"/>
  <c r="L104" i="7"/>
  <c r="M104" i="7"/>
  <c r="H105" i="7"/>
  <c r="I105" i="7"/>
  <c r="K105" i="7" s="1"/>
  <c r="J105" i="7"/>
  <c r="L105" i="7"/>
  <c r="M105" i="7"/>
  <c r="H106" i="7"/>
  <c r="I106" i="7"/>
  <c r="J106" i="7"/>
  <c r="L106" i="7"/>
  <c r="M106" i="7"/>
  <c r="H107" i="7"/>
  <c r="I107" i="7"/>
  <c r="J107" i="7"/>
  <c r="L107" i="7"/>
  <c r="M107" i="7"/>
  <c r="H108" i="7"/>
  <c r="I108" i="7"/>
  <c r="J108" i="7"/>
  <c r="L108" i="7"/>
  <c r="M108" i="7"/>
  <c r="H109" i="7"/>
  <c r="I109" i="7"/>
  <c r="J109" i="7"/>
  <c r="L109" i="7"/>
  <c r="M109" i="7"/>
  <c r="N109" i="7"/>
  <c r="H110" i="7"/>
  <c r="I110" i="7"/>
  <c r="J110" i="7"/>
  <c r="L110" i="7"/>
  <c r="M110" i="7"/>
  <c r="H111" i="7"/>
  <c r="I111" i="7"/>
  <c r="J111" i="7"/>
  <c r="L111" i="7"/>
  <c r="M111" i="7"/>
  <c r="N111" i="7"/>
  <c r="H112" i="7"/>
  <c r="I112" i="7"/>
  <c r="J112" i="7"/>
  <c r="L112" i="7"/>
  <c r="M112" i="7"/>
  <c r="H113" i="7"/>
  <c r="I113" i="7"/>
  <c r="J113" i="7"/>
  <c r="L113" i="7"/>
  <c r="M113" i="7"/>
  <c r="H114" i="7"/>
  <c r="I114" i="7"/>
  <c r="J114" i="7"/>
  <c r="K114" i="7" s="1"/>
  <c r="L114" i="7"/>
  <c r="M114" i="7"/>
  <c r="H115" i="7"/>
  <c r="I115" i="7"/>
  <c r="J115" i="7"/>
  <c r="L115" i="7"/>
  <c r="M115" i="7"/>
  <c r="H116" i="7"/>
  <c r="I116" i="7"/>
  <c r="J116" i="7"/>
  <c r="L116" i="7"/>
  <c r="M116" i="7"/>
  <c r="H117" i="7"/>
  <c r="I117" i="7"/>
  <c r="J117" i="7"/>
  <c r="L117" i="7"/>
  <c r="M117" i="7"/>
  <c r="H118" i="7"/>
  <c r="I118" i="7"/>
  <c r="J118" i="7"/>
  <c r="L118" i="7"/>
  <c r="N118" i="7" s="1"/>
  <c r="M118" i="7"/>
  <c r="H119" i="7"/>
  <c r="I119" i="7"/>
  <c r="J119" i="7"/>
  <c r="L119" i="7"/>
  <c r="M119" i="7"/>
  <c r="H120" i="7"/>
  <c r="I120" i="7"/>
  <c r="J120" i="7"/>
  <c r="L120" i="7"/>
  <c r="M120" i="7"/>
  <c r="H121" i="7"/>
  <c r="I121" i="7"/>
  <c r="K121" i="7" s="1"/>
  <c r="J121" i="7"/>
  <c r="L121" i="7"/>
  <c r="M121" i="7"/>
  <c r="H122" i="7"/>
  <c r="I122" i="7"/>
  <c r="J122" i="7"/>
  <c r="L122" i="7"/>
  <c r="M122" i="7"/>
  <c r="H123" i="7"/>
  <c r="I123" i="7"/>
  <c r="K123" i="7" s="1"/>
  <c r="J123" i="7"/>
  <c r="L123" i="7"/>
  <c r="M123" i="7"/>
  <c r="H124" i="7"/>
  <c r="I124" i="7"/>
  <c r="J124" i="7"/>
  <c r="L124" i="7"/>
  <c r="N124" i="7" s="1"/>
  <c r="M124" i="7"/>
  <c r="H125" i="7"/>
  <c r="I125" i="7"/>
  <c r="J125" i="7"/>
  <c r="L125" i="7"/>
  <c r="M125" i="7"/>
  <c r="H126" i="7"/>
  <c r="I126" i="7"/>
  <c r="K126" i="7" s="1"/>
  <c r="J126" i="7"/>
  <c r="L126" i="7"/>
  <c r="M126" i="7"/>
  <c r="N126" i="7" s="1"/>
  <c r="H127" i="7"/>
  <c r="I127" i="7"/>
  <c r="J127" i="7"/>
  <c r="L127" i="7"/>
  <c r="M127" i="7"/>
  <c r="H128" i="7"/>
  <c r="I128" i="7"/>
  <c r="J128" i="7"/>
  <c r="L128" i="7"/>
  <c r="M128" i="7"/>
  <c r="H129" i="7"/>
  <c r="I129" i="7"/>
  <c r="J129" i="7"/>
  <c r="L129" i="7"/>
  <c r="M129" i="7"/>
  <c r="H130" i="7"/>
  <c r="I130" i="7"/>
  <c r="J130" i="7"/>
  <c r="L130" i="7"/>
  <c r="M130" i="7"/>
  <c r="H131" i="7"/>
  <c r="I131" i="7"/>
  <c r="J131" i="7"/>
  <c r="L131" i="7"/>
  <c r="N131" i="7" s="1"/>
  <c r="M131" i="7"/>
  <c r="H132" i="7"/>
  <c r="I132" i="7"/>
  <c r="K132" i="7" s="1"/>
  <c r="J132" i="7"/>
  <c r="L132" i="7"/>
  <c r="N132" i="7" s="1"/>
  <c r="M132" i="7"/>
  <c r="H133" i="7"/>
  <c r="I133" i="7"/>
  <c r="J133" i="7"/>
  <c r="L133" i="7"/>
  <c r="M133" i="7"/>
  <c r="H134" i="7"/>
  <c r="I134" i="7"/>
  <c r="J134" i="7"/>
  <c r="L134" i="7"/>
  <c r="M134" i="7"/>
  <c r="H135" i="7"/>
  <c r="I135" i="7"/>
  <c r="J135" i="7"/>
  <c r="L135" i="7"/>
  <c r="N135" i="7" s="1"/>
  <c r="M135" i="7"/>
  <c r="H136" i="7"/>
  <c r="I136" i="7"/>
  <c r="K136" i="7" s="1"/>
  <c r="J136" i="7"/>
  <c r="L136" i="7"/>
  <c r="M136" i="7"/>
  <c r="H137" i="7"/>
  <c r="I137" i="7"/>
  <c r="K137" i="7" s="1"/>
  <c r="J137" i="7"/>
  <c r="L137" i="7"/>
  <c r="M137" i="7"/>
  <c r="H138" i="7"/>
  <c r="I138" i="7"/>
  <c r="J138" i="7"/>
  <c r="L138" i="7"/>
  <c r="M138" i="7"/>
  <c r="H139" i="7"/>
  <c r="I139" i="7"/>
  <c r="J139" i="7"/>
  <c r="L139" i="7"/>
  <c r="M139" i="7"/>
  <c r="H140" i="7"/>
  <c r="I140" i="7"/>
  <c r="J140" i="7"/>
  <c r="L140" i="7"/>
  <c r="M140" i="7"/>
  <c r="H141" i="7"/>
  <c r="I141" i="7"/>
  <c r="J141" i="7"/>
  <c r="L141" i="7"/>
  <c r="N141" i="7" s="1"/>
  <c r="M141" i="7"/>
  <c r="H142" i="7"/>
  <c r="I142" i="7"/>
  <c r="J142" i="7"/>
  <c r="L142" i="7"/>
  <c r="N142" i="7" s="1"/>
  <c r="M142" i="7"/>
  <c r="H143" i="7"/>
  <c r="I143" i="7"/>
  <c r="J143" i="7"/>
  <c r="L143" i="7"/>
  <c r="N143" i="7" s="1"/>
  <c r="M143" i="7"/>
  <c r="H144" i="7"/>
  <c r="I144" i="7"/>
  <c r="J144" i="7"/>
  <c r="L144" i="7"/>
  <c r="M144" i="7"/>
  <c r="H145" i="7"/>
  <c r="I145" i="7"/>
  <c r="K145" i="7" s="1"/>
  <c r="J145" i="7"/>
  <c r="L145" i="7"/>
  <c r="M145" i="7"/>
  <c r="H146" i="7"/>
  <c r="I146" i="7"/>
  <c r="K146" i="7" s="1"/>
  <c r="J146" i="7"/>
  <c r="L146" i="7"/>
  <c r="M146" i="7"/>
  <c r="H147" i="7"/>
  <c r="I147" i="7"/>
  <c r="K147" i="7" s="1"/>
  <c r="J147" i="7"/>
  <c r="L147" i="7"/>
  <c r="M147" i="7"/>
  <c r="H148" i="7"/>
  <c r="I148" i="7"/>
  <c r="J148" i="7"/>
  <c r="K148" i="7" s="1"/>
  <c r="L148" i="7"/>
  <c r="M148" i="7"/>
  <c r="H149" i="7"/>
  <c r="I149" i="7"/>
  <c r="J149" i="7"/>
  <c r="L149" i="7"/>
  <c r="N149" i="7" s="1"/>
  <c r="M149" i="7"/>
  <c r="H150" i="7"/>
  <c r="I150" i="7"/>
  <c r="J150" i="7"/>
  <c r="L150" i="7"/>
  <c r="M150" i="7"/>
  <c r="H151" i="7"/>
  <c r="I151" i="7"/>
  <c r="K151" i="7" s="1"/>
  <c r="J151" i="7"/>
  <c r="L151" i="7"/>
  <c r="M151" i="7"/>
  <c r="H152" i="7"/>
  <c r="I152" i="7"/>
  <c r="J152" i="7"/>
  <c r="L152" i="7"/>
  <c r="M152" i="7"/>
  <c r="H153" i="7"/>
  <c r="I153" i="7"/>
  <c r="J153" i="7"/>
  <c r="L153" i="7"/>
  <c r="M153" i="7"/>
  <c r="N153" i="7"/>
  <c r="H154" i="7"/>
  <c r="I154" i="7"/>
  <c r="J154" i="7"/>
  <c r="L154" i="7"/>
  <c r="M154" i="7"/>
  <c r="H155" i="7"/>
  <c r="I155" i="7"/>
  <c r="K155" i="7" s="1"/>
  <c r="J155" i="7"/>
  <c r="L155" i="7"/>
  <c r="M155" i="7"/>
  <c r="H156" i="7"/>
  <c r="I156" i="7"/>
  <c r="K156" i="7" s="1"/>
  <c r="J156" i="7"/>
  <c r="L156" i="7"/>
  <c r="M156" i="7"/>
  <c r="N156" i="7" s="1"/>
  <c r="H157" i="7"/>
  <c r="I157" i="7"/>
  <c r="J157" i="7"/>
  <c r="L157" i="7"/>
  <c r="M157" i="7"/>
  <c r="H158" i="7"/>
  <c r="I158" i="7"/>
  <c r="J158" i="7"/>
  <c r="L158" i="7"/>
  <c r="M158" i="7"/>
  <c r="H159" i="7"/>
  <c r="I159" i="7"/>
  <c r="J159" i="7"/>
  <c r="L159" i="7"/>
  <c r="M159" i="7"/>
  <c r="H160" i="7"/>
  <c r="I160" i="7"/>
  <c r="J160" i="7"/>
  <c r="L160" i="7"/>
  <c r="M160" i="7"/>
  <c r="H161" i="7"/>
  <c r="I161" i="7"/>
  <c r="J161" i="7"/>
  <c r="L161" i="7"/>
  <c r="N161" i="7" s="1"/>
  <c r="M161" i="7"/>
  <c r="H162" i="7"/>
  <c r="I162" i="7"/>
  <c r="J162" i="7"/>
  <c r="K162" i="7" s="1"/>
  <c r="L162" i="7"/>
  <c r="M162" i="7"/>
  <c r="H163" i="7"/>
  <c r="I163" i="7"/>
  <c r="J163" i="7"/>
  <c r="L163" i="7"/>
  <c r="N163" i="7" s="1"/>
  <c r="M163" i="7"/>
  <c r="H164" i="7"/>
  <c r="I164" i="7"/>
  <c r="K164" i="7" s="1"/>
  <c r="J164" i="7"/>
  <c r="L164" i="7"/>
  <c r="N164" i="7" s="1"/>
  <c r="M164" i="7"/>
  <c r="H165" i="7"/>
  <c r="I165" i="7"/>
  <c r="J165" i="7"/>
  <c r="L165" i="7"/>
  <c r="M165" i="7"/>
  <c r="H166" i="7"/>
  <c r="I166" i="7"/>
  <c r="J166" i="7"/>
  <c r="L166" i="7"/>
  <c r="N166" i="7" s="1"/>
  <c r="M166" i="7"/>
  <c r="H167" i="7"/>
  <c r="I167" i="7"/>
  <c r="J167" i="7"/>
  <c r="L167" i="7"/>
  <c r="N167" i="7" s="1"/>
  <c r="M167" i="7"/>
  <c r="H168" i="7"/>
  <c r="I168" i="7"/>
  <c r="J168" i="7"/>
  <c r="L168" i="7"/>
  <c r="M168" i="7"/>
  <c r="H169" i="7"/>
  <c r="I169" i="7"/>
  <c r="K169" i="7" s="1"/>
  <c r="J169" i="7"/>
  <c r="L169" i="7"/>
  <c r="M169" i="7"/>
  <c r="H170" i="7"/>
  <c r="I170" i="7"/>
  <c r="K170" i="7" s="1"/>
  <c r="J170" i="7"/>
  <c r="L170" i="7"/>
  <c r="M170" i="7"/>
  <c r="H171" i="7"/>
  <c r="I171" i="7"/>
  <c r="J171" i="7"/>
  <c r="L171" i="7"/>
  <c r="M171" i="7"/>
  <c r="H172" i="7"/>
  <c r="I172" i="7"/>
  <c r="J172" i="7"/>
  <c r="L172" i="7"/>
  <c r="M172" i="7"/>
  <c r="H173" i="7"/>
  <c r="I173" i="7"/>
  <c r="J173" i="7"/>
  <c r="L173" i="7"/>
  <c r="M173" i="7"/>
  <c r="H174" i="7"/>
  <c r="I174" i="7"/>
  <c r="J174" i="7"/>
  <c r="L174" i="7"/>
  <c r="M174" i="7"/>
  <c r="H175" i="7"/>
  <c r="I175" i="7"/>
  <c r="J175" i="7"/>
  <c r="L175" i="7"/>
  <c r="N175" i="7" s="1"/>
  <c r="M175" i="7"/>
  <c r="H176" i="7"/>
  <c r="I176" i="7"/>
  <c r="J176" i="7"/>
  <c r="L176" i="7"/>
  <c r="M176" i="7"/>
  <c r="H177" i="7"/>
  <c r="I177" i="7"/>
  <c r="J177" i="7"/>
  <c r="L177" i="7"/>
  <c r="M177" i="7"/>
  <c r="H178" i="7"/>
  <c r="I178" i="7"/>
  <c r="K178" i="7" s="1"/>
  <c r="J178" i="7"/>
  <c r="L178" i="7"/>
  <c r="M178" i="7"/>
  <c r="H179" i="7"/>
  <c r="I179" i="7"/>
  <c r="J179" i="7"/>
  <c r="K179" i="7"/>
  <c r="L179" i="7"/>
  <c r="M179" i="7"/>
  <c r="H180" i="7"/>
  <c r="I180" i="7"/>
  <c r="J180" i="7"/>
  <c r="K180" i="7" s="1"/>
  <c r="L180" i="7"/>
  <c r="M180" i="7"/>
  <c r="H181" i="7"/>
  <c r="I181" i="7"/>
  <c r="J181" i="7"/>
  <c r="L181" i="7"/>
  <c r="N181" i="7" s="1"/>
  <c r="M181" i="7"/>
  <c r="H182" i="7"/>
  <c r="I182" i="7"/>
  <c r="J182" i="7"/>
  <c r="K182" i="7" s="1"/>
  <c r="L182" i="7"/>
  <c r="M182" i="7"/>
  <c r="H183" i="7"/>
  <c r="I183" i="7"/>
  <c r="K183" i="7" s="1"/>
  <c r="J183" i="7"/>
  <c r="L183" i="7"/>
  <c r="N183" i="7" s="1"/>
  <c r="M183" i="7"/>
  <c r="J11" i="7"/>
  <c r="J12" i="7"/>
  <c r="M12" i="7"/>
  <c r="M13" i="7"/>
  <c r="M15" i="7"/>
  <c r="M16" i="7"/>
  <c r="M17" i="7"/>
  <c r="L17" i="7"/>
  <c r="M18" i="7"/>
  <c r="M19" i="7"/>
  <c r="L19" i="7"/>
  <c r="M20" i="7"/>
  <c r="M21" i="7"/>
  <c r="BF26" i="1"/>
  <c r="H21" i="7" s="1"/>
  <c r="BF23" i="1"/>
  <c r="H18" i="7" s="1"/>
  <c r="BF24" i="1"/>
  <c r="H19" i="7" s="1"/>
  <c r="BF25" i="1"/>
  <c r="H20" i="7" s="1"/>
  <c r="BF22" i="1"/>
  <c r="I17" i="7" s="1"/>
  <c r="M5" i="7"/>
  <c r="M6" i="7"/>
  <c r="M7" i="7"/>
  <c r="M11" i="7"/>
  <c r="J5" i="7"/>
  <c r="J6" i="7"/>
  <c r="J7" i="7"/>
  <c r="J8" i="7"/>
  <c r="J9" i="7"/>
  <c r="J10" i="7"/>
  <c r="J4" i="7"/>
  <c r="M8" i="7"/>
  <c r="CO9" i="1"/>
  <c r="M4" i="7" s="1"/>
  <c r="CV9" i="1"/>
  <c r="CT9" i="1"/>
  <c r="L20" i="7" l="1"/>
  <c r="N20" i="7" s="1"/>
  <c r="N17" i="7"/>
  <c r="N19" i="7"/>
  <c r="N125" i="7"/>
  <c r="N119" i="7"/>
  <c r="N97" i="7"/>
  <c r="N70" i="7"/>
  <c r="K64" i="7"/>
  <c r="N43" i="7"/>
  <c r="K31" i="7"/>
  <c r="N29" i="7"/>
  <c r="K172" i="7"/>
  <c r="K158" i="7"/>
  <c r="K138" i="7"/>
  <c r="N122" i="7"/>
  <c r="N173" i="7"/>
  <c r="N165" i="7"/>
  <c r="K161" i="7"/>
  <c r="N134" i="7"/>
  <c r="N128" i="7"/>
  <c r="K102" i="7"/>
  <c r="K75" i="7"/>
  <c r="N73" i="7"/>
  <c r="K67" i="7"/>
  <c r="K59" i="7"/>
  <c r="N46" i="7"/>
  <c r="K57" i="7"/>
  <c r="N41" i="7"/>
  <c r="N35" i="7"/>
  <c r="N120" i="7"/>
  <c r="K81" i="7"/>
  <c r="N79" i="7"/>
  <c r="K73" i="7"/>
  <c r="K153" i="7"/>
  <c r="N151" i="7"/>
  <c r="N145" i="7"/>
  <c r="K139" i="7"/>
  <c r="N174" i="7"/>
  <c r="K168" i="7"/>
  <c r="K142" i="7"/>
  <c r="N129" i="7"/>
  <c r="N101" i="7"/>
  <c r="K84" i="7"/>
  <c r="N77" i="7"/>
  <c r="K76" i="7"/>
  <c r="K68" i="7"/>
  <c r="K49" i="7"/>
  <c r="N47" i="7"/>
  <c r="K35" i="7"/>
  <c r="N33" i="7"/>
  <c r="K174" i="7"/>
  <c r="N158" i="7"/>
  <c r="K149" i="7"/>
  <c r="K140" i="7"/>
  <c r="K129" i="7"/>
  <c r="N127" i="7"/>
  <c r="K124" i="7"/>
  <c r="K101" i="7"/>
  <c r="N94" i="7"/>
  <c r="N88" i="7"/>
  <c r="K82" i="7"/>
  <c r="K77" i="7"/>
  <c r="K66" i="7"/>
  <c r="K58" i="7"/>
  <c r="N45" i="7"/>
  <c r="K33" i="7"/>
  <c r="N23" i="7"/>
  <c r="N172" i="7"/>
  <c r="N140" i="7"/>
  <c r="N137" i="7"/>
  <c r="N182" i="7"/>
  <c r="K159" i="7"/>
  <c r="N150" i="7"/>
  <c r="N144" i="7"/>
  <c r="K130" i="7"/>
  <c r="K127" i="7"/>
  <c r="K118" i="7"/>
  <c r="N116" i="7"/>
  <c r="N113" i="7"/>
  <c r="N110" i="7"/>
  <c r="N107" i="7"/>
  <c r="N98" i="7"/>
  <c r="K97" i="7"/>
  <c r="N95" i="7"/>
  <c r="N92" i="7"/>
  <c r="N86" i="7"/>
  <c r="K83" i="7"/>
  <c r="K74" i="7"/>
  <c r="N72" i="7"/>
  <c r="N56" i="7"/>
  <c r="K53" i="7"/>
  <c r="N48" i="7"/>
  <c r="K41" i="7"/>
  <c r="N39" i="7"/>
  <c r="K38" i="7"/>
  <c r="K23" i="7"/>
  <c r="N24" i="7"/>
  <c r="K166" i="7"/>
  <c r="K134" i="7"/>
  <c r="K116" i="7"/>
  <c r="K113" i="7"/>
  <c r="K110" i="7"/>
  <c r="K107" i="7"/>
  <c r="N105" i="7"/>
  <c r="K98" i="7"/>
  <c r="K95" i="7"/>
  <c r="K86" i="7"/>
  <c r="N84" i="7"/>
  <c r="N81" i="7"/>
  <c r="N78" i="7"/>
  <c r="N75" i="7"/>
  <c r="N66" i="7"/>
  <c r="K65" i="7"/>
  <c r="N63" i="7"/>
  <c r="N60" i="7"/>
  <c r="N54" i="7"/>
  <c r="N169" i="7"/>
  <c r="N157" i="7"/>
  <c r="N180" i="7"/>
  <c r="N177" i="7"/>
  <c r="K173" i="7"/>
  <c r="K163" i="7"/>
  <c r="K160" i="7"/>
  <c r="N154" i="7"/>
  <c r="K150" i="7"/>
  <c r="N148" i="7"/>
  <c r="K131" i="7"/>
  <c r="K128" i="7"/>
  <c r="K122" i="7"/>
  <c r="K119" i="7"/>
  <c r="N117" i="7"/>
  <c r="N108" i="7"/>
  <c r="N103" i="7"/>
  <c r="N99" i="7"/>
  <c r="N96" i="7"/>
  <c r="N93" i="7"/>
  <c r="N90" i="7"/>
  <c r="N87" i="7"/>
  <c r="K72" i="7"/>
  <c r="K60" i="7"/>
  <c r="K51" i="7"/>
  <c r="N49" i="7"/>
  <c r="K45" i="7"/>
  <c r="K42" i="7"/>
  <c r="N37" i="7"/>
  <c r="N31" i="7"/>
  <c r="K27" i="7"/>
  <c r="N22" i="7"/>
  <c r="K177" i="7"/>
  <c r="K171" i="7"/>
  <c r="N159" i="7"/>
  <c r="K154" i="7"/>
  <c r="N133" i="7"/>
  <c r="N121" i="7"/>
  <c r="K108" i="7"/>
  <c r="K99" i="7"/>
  <c r="K96" i="7"/>
  <c r="K90" i="7"/>
  <c r="K87" i="7"/>
  <c r="N85" i="7"/>
  <c r="N76" i="7"/>
  <c r="N71" i="7"/>
  <c r="N67" i="7"/>
  <c r="N61" i="7"/>
  <c r="N58" i="7"/>
  <c r="N55" i="7"/>
  <c r="K52" i="7"/>
  <c r="K40" i="7"/>
  <c r="K37" i="7"/>
  <c r="K34" i="7"/>
  <c r="K133" i="7"/>
  <c r="K115" i="7"/>
  <c r="K106" i="7"/>
  <c r="K85" i="7"/>
  <c r="N80" i="7"/>
  <c r="N62" i="7"/>
  <c r="N179" i="7"/>
  <c r="N170" i="7"/>
  <c r="N152" i="7"/>
  <c r="N147" i="7"/>
  <c r="K141" i="7"/>
  <c r="N138" i="7"/>
  <c r="N115" i="7"/>
  <c r="K109" i="7"/>
  <c r="N106" i="7"/>
  <c r="N83" i="7"/>
  <c r="N74" i="7"/>
  <c r="N51" i="7"/>
  <c r="N42" i="7"/>
  <c r="K69" i="7"/>
  <c r="K55" i="7"/>
  <c r="K32" i="7"/>
  <c r="K24" i="7"/>
  <c r="N139" i="7"/>
  <c r="N130" i="7"/>
  <c r="N171" i="7"/>
  <c r="K165" i="7"/>
  <c r="N162" i="7"/>
  <c r="N176" i="7"/>
  <c r="K175" i="7"/>
  <c r="K157" i="7"/>
  <c r="K152" i="7"/>
  <c r="K143" i="7"/>
  <c r="K125" i="7"/>
  <c r="K120" i="7"/>
  <c r="N112" i="7"/>
  <c r="K111" i="7"/>
  <c r="K93" i="7"/>
  <c r="K88" i="7"/>
  <c r="K79" i="7"/>
  <c r="K61" i="7"/>
  <c r="K56" i="7"/>
  <c r="K47" i="7"/>
  <c r="K29" i="7"/>
  <c r="N26" i="7"/>
  <c r="K20" i="7"/>
  <c r="BQ25" i="1" s="1"/>
  <c r="K19" i="7"/>
  <c r="BQ24" i="1" s="1"/>
  <c r="K144" i="7"/>
  <c r="N136" i="7"/>
  <c r="K135" i="7"/>
  <c r="K112" i="7"/>
  <c r="N104" i="7"/>
  <c r="K103" i="7"/>
  <c r="K80" i="7"/>
  <c r="K71" i="7"/>
  <c r="K48" i="7"/>
  <c r="N40" i="7"/>
  <c r="K39" i="7"/>
  <c r="N27" i="7"/>
  <c r="K18" i="7"/>
  <c r="BQ23" i="1" s="1"/>
  <c r="K176" i="7"/>
  <c r="N168" i="7"/>
  <c r="K167" i="7"/>
  <c r="K181" i="7"/>
  <c r="N178" i="7"/>
  <c r="N160" i="7"/>
  <c r="N155" i="7"/>
  <c r="N146" i="7"/>
  <c r="N123" i="7"/>
  <c r="K117" i="7"/>
  <c r="N114" i="7"/>
  <c r="N91" i="7"/>
  <c r="N82" i="7"/>
  <c r="N64" i="7"/>
  <c r="N59" i="7"/>
  <c r="N50" i="7"/>
  <c r="N32" i="7"/>
  <c r="K17" i="7"/>
  <c r="BQ22" i="1" s="1"/>
  <c r="H17" i="7"/>
  <c r="L12" i="7"/>
  <c r="N12" i="7" s="1"/>
  <c r="BV17" i="1" s="1"/>
  <c r="L11" i="7"/>
  <c r="BF12" i="1"/>
  <c r="L8" i="7"/>
  <c r="N8" i="7" s="1"/>
  <c r="BV13" i="1" s="1"/>
  <c r="L10" i="7"/>
  <c r="M10" i="7"/>
  <c r="L9" i="7"/>
  <c r="M9" i="7"/>
  <c r="L6" i="7"/>
  <c r="N6" i="7" s="1"/>
  <c r="BV11" i="1" s="1"/>
  <c r="L5" i="7"/>
  <c r="N5" i="7" s="1"/>
  <c r="BV10" i="1" s="1"/>
  <c r="L15" i="7" l="1"/>
  <c r="N15" i="7" s="1"/>
  <c r="BV20" i="1" s="1"/>
  <c r="BF20" i="1"/>
  <c r="L21" i="7"/>
  <c r="N21" i="7" s="1"/>
  <c r="L18" i="7"/>
  <c r="N18" i="7" s="1"/>
  <c r="L16" i="7"/>
  <c r="N16" i="7" s="1"/>
  <c r="BV21" i="1" s="1"/>
  <c r="BF19" i="1"/>
  <c r="H14" i="7" s="1"/>
  <c r="L14" i="7"/>
  <c r="N14" i="7" s="1"/>
  <c r="BV19" i="1" s="1"/>
  <c r="BF18" i="1"/>
  <c r="H13" i="7" s="1"/>
  <c r="L13" i="7"/>
  <c r="N13" i="7" s="1"/>
  <c r="BV18" i="1" s="1"/>
  <c r="BF17" i="1"/>
  <c r="H12" i="7" s="1"/>
  <c r="I13" i="7"/>
  <c r="K13" i="7" s="1"/>
  <c r="BQ18" i="1" s="1"/>
  <c r="BF16" i="1"/>
  <c r="N11" i="7"/>
  <c r="BV16" i="1" s="1"/>
  <c r="BF13" i="1"/>
  <c r="N10" i="7"/>
  <c r="BV15" i="1" s="1"/>
  <c r="L7" i="7"/>
  <c r="N7" i="7" s="1"/>
  <c r="BV12" i="1" s="1"/>
  <c r="BF15" i="1"/>
  <c r="N9" i="7"/>
  <c r="BV14" i="1" s="1"/>
  <c r="BF14" i="1"/>
  <c r="BF11" i="1"/>
  <c r="BF10" i="1"/>
  <c r="BF21" i="1" l="1"/>
  <c r="H15" i="7"/>
  <c r="BI20" i="1"/>
  <c r="I15" i="7" s="1"/>
  <c r="K15" i="7" s="1"/>
  <c r="BQ20" i="1" s="1"/>
  <c r="I14" i="7"/>
  <c r="K14" i="7" s="1"/>
  <c r="BQ19" i="1" s="1"/>
  <c r="I12" i="7"/>
  <c r="K12" i="7" s="1"/>
  <c r="BQ17" i="1" s="1"/>
  <c r="I8" i="7"/>
  <c r="K8" i="7" s="1"/>
  <c r="I11" i="7"/>
  <c r="H11" i="7"/>
  <c r="H7" i="7"/>
  <c r="E22" i="6"/>
  <c r="E22" i="5"/>
  <c r="A51" i="2"/>
  <c r="H16" i="7" l="1"/>
  <c r="BI21" i="1"/>
  <c r="I16" i="7" s="1"/>
  <c r="K16" i="7" s="1"/>
  <c r="BQ21" i="1" s="1"/>
  <c r="K11" i="7"/>
  <c r="BQ16" i="1" s="1"/>
  <c r="H8" i="7"/>
  <c r="H10" i="7"/>
  <c r="H9" i="7"/>
  <c r="H5" i="7"/>
  <c r="H6" i="7"/>
  <c r="CM9" i="1"/>
  <c r="CW9" i="1"/>
  <c r="CX9" i="1" s="1"/>
  <c r="CY9" i="1" l="1"/>
  <c r="BF9" i="1" s="1"/>
  <c r="BI9" i="1" s="1"/>
  <c r="L4" i="7"/>
  <c r="CN9" i="1"/>
  <c r="CP9" i="1" s="1"/>
  <c r="CQ9" i="1" s="1"/>
  <c r="CZ9" i="1" l="1"/>
  <c r="H4" i="7"/>
  <c r="I7" i="7"/>
  <c r="K7" i="7" s="1"/>
  <c r="I10" i="7"/>
  <c r="K10" i="7" s="1"/>
  <c r="I9" i="7"/>
  <c r="K9" i="7" s="1"/>
  <c r="I6" i="7"/>
  <c r="K6" i="7" s="1"/>
  <c r="N4" i="7"/>
  <c r="BV9" i="1" s="1"/>
  <c r="I5" i="7" l="1"/>
  <c r="K5" i="7" s="1"/>
  <c r="BQ15" i="1"/>
  <c r="BQ13" i="1"/>
  <c r="BQ14" i="1"/>
  <c r="BQ12" i="1"/>
  <c r="BQ11" i="1"/>
  <c r="I4" i="7" l="1"/>
  <c r="K4" i="7" l="1"/>
  <c r="BQ9" i="1" s="1"/>
  <c r="T4" i="7"/>
  <c r="T5" i="7"/>
  <c r="U5" i="7" s="1"/>
  <c r="T6" i="7"/>
  <c r="U6" i="7" s="1"/>
  <c r="BQ10" i="1"/>
  <c r="U4" i="7" l="1"/>
  <c r="U7" i="7" s="1"/>
  <c r="T7" i="7"/>
  <c r="O4" i="7" l="1"/>
  <c r="X5" i="7" l="1"/>
  <c r="Y5" i="7" s="1"/>
  <c r="P4" i="7" l="1"/>
</calcChain>
</file>

<file path=xl/sharedStrings.xml><?xml version="1.0" encoding="utf-8"?>
<sst xmlns="http://schemas.openxmlformats.org/spreadsheetml/2006/main" count="587" uniqueCount="199">
  <si>
    <t>CRÍTICO</t>
  </si>
  <si>
    <t>CERTA</t>
  </si>
  <si>
    <t>Controle necessário (P1)</t>
  </si>
  <si>
    <t>INCERTA</t>
  </si>
  <si>
    <t>Controle necessário (P1) 
Informação adicional necessária [AET] (P1)</t>
  </si>
  <si>
    <t>ALTAMENTE INCERTA</t>
  </si>
  <si>
    <t>ALTO</t>
  </si>
  <si>
    <t>Controle necessário (P1) 
Informação adicional necessária [AET] (P2)</t>
  </si>
  <si>
    <t>MÉDIO</t>
  </si>
  <si>
    <r>
      <t xml:space="preserve">Manter o controle </t>
    </r>
    <r>
      <rPr>
        <i/>
        <sz val="8"/>
        <color rgb="FF000000"/>
        <rFont val="Arial"/>
        <family val="2"/>
      </rPr>
      <t>existente. (P1) 
Controle adicional necessário se for possível e viável. (P2)</t>
    </r>
  </si>
  <si>
    <t>Informação adicional necessária  [AET]  (P2) antes de se decidir se há necessidade de controle adicional .</t>
  </si>
  <si>
    <t>Informação adicional necessária  [AET] (P1) antes de se decidir se há necessidade de controle adicional.</t>
  </si>
  <si>
    <t>BAIXO</t>
  </si>
  <si>
    <t>Nenhum controle adicional é necessário.
Manter o controle existente. (P1)</t>
  </si>
  <si>
    <t>Informação adicional necessária [AET] (P2)</t>
  </si>
  <si>
    <t>Informação adicional necessária [AET]  (P1)</t>
  </si>
  <si>
    <t>IRRELEVANTE</t>
  </si>
  <si>
    <t>Nenhuma ação é necessária.</t>
  </si>
  <si>
    <t>Nenhuma informação adicional é necessária.</t>
  </si>
  <si>
    <t>AVALIAÇÃO ERGONÔMICA PRELIMINAR</t>
  </si>
  <si>
    <t>EMPRESA</t>
  </si>
  <si>
    <t>SETOR</t>
  </si>
  <si>
    <t>N° pessoas setor/linha</t>
  </si>
  <si>
    <t>RESPONSÁVEL PELO SETOR</t>
  </si>
  <si>
    <t>DATA</t>
  </si>
  <si>
    <t>UNIDADE</t>
  </si>
  <si>
    <t>ATIVIDADE</t>
  </si>
  <si>
    <t>RESPONSÁVEL PELA ANÁLISE</t>
  </si>
  <si>
    <t>IDENTIFICAÇÃO DO PERIGO</t>
  </si>
  <si>
    <t>Análise da Atividade</t>
  </si>
  <si>
    <t>Tipo de Perigo /
Fonte(s) de Risco(s)</t>
  </si>
  <si>
    <t>Fonte Geradora / Circunstâncias</t>
  </si>
  <si>
    <t>Tipo de Avaliação</t>
  </si>
  <si>
    <t>Referência Utilizada</t>
  </si>
  <si>
    <t>N° pessoas envolvidas</t>
  </si>
  <si>
    <t>% de Abrangência</t>
  </si>
  <si>
    <t>Tempo de exposição</t>
  </si>
  <si>
    <t>Gravidade</t>
  </si>
  <si>
    <t>Controle</t>
  </si>
  <si>
    <r>
      <t xml:space="preserve">RPN
</t>
    </r>
    <r>
      <rPr>
        <b/>
        <sz val="6"/>
        <color theme="0"/>
        <rFont val="Arial"/>
        <family val="2"/>
      </rPr>
      <t>[Risk Priority Number]</t>
    </r>
  </si>
  <si>
    <t>Classificação do Risco</t>
  </si>
  <si>
    <t>Estimativa da Incerteza</t>
  </si>
  <si>
    <t>CONTROLE</t>
  </si>
  <si>
    <t>MONITORAMENTO</t>
  </si>
  <si>
    <t>Definições de ações necessárias e prioridades</t>
  </si>
  <si>
    <t>Probabilidade</t>
  </si>
  <si>
    <t>A</t>
  </si>
  <si>
    <t>VA</t>
  </si>
  <si>
    <t>E</t>
  </si>
  <si>
    <t>Mx</t>
  </si>
  <si>
    <t>Severidade</t>
  </si>
  <si>
    <t>G</t>
  </si>
  <si>
    <t>C</t>
  </si>
  <si>
    <t>RPN</t>
  </si>
  <si>
    <t>[FOTO]</t>
  </si>
  <si>
    <t>BIOMECÂNICOS</t>
  </si>
  <si>
    <t>Trabalho em posturas incômodas ou pouco confortáveis por longos períodos</t>
  </si>
  <si>
    <t>Exposição estimada entre 10% e 30% da jornada</t>
  </si>
  <si>
    <t>Lesão ou doença leve, com efeitos reversíveis levemente prejudiciais. Queixa de dores e doenças que podem estar relacionadas ao trabalho</t>
  </si>
  <si>
    <t>Medidas de controle inexistentes ou as medidas existentes são reconhecidamente inadequadas.</t>
  </si>
  <si>
    <t>B</t>
  </si>
  <si>
    <t>Levantamento e transporte manual de cargas ou volumes.</t>
  </si>
  <si>
    <t>Exposição estimada entre 30% e 50% da jornada</t>
  </si>
  <si>
    <t>Lesão grave que requer ajuda especializada de saúde, com afastamento do trabalho.  Doença ocupacional que resulte em sequelas que podem limitar a capacidade funcional.</t>
  </si>
  <si>
    <t>Lesão ou doença que requer ajuda especializada de saúde, sem afastamento do trabalho.  Doença ocupacional com afastamento por tempo determinado, sem sequelas</t>
  </si>
  <si>
    <t>As medidas de controle existentes são adequadas, mas apresentando desvios ou problemas significativos. A eficiência é duvidosa e não há garantias de manutenção adequada.</t>
  </si>
  <si>
    <t>D</t>
  </si>
  <si>
    <t>Manuseio ou movimentação de cargas e volumes sem pega ou com “pega pobre”.</t>
  </si>
  <si>
    <t>As medidas de controle existentes são adequadas e eficientes, mas não há garantias de que sejam mantidas em longo prazo.</t>
  </si>
  <si>
    <t>AMBIENTAIS</t>
  </si>
  <si>
    <t>Piso escorregadio e/ou irregular.</t>
  </si>
  <si>
    <t>F</t>
  </si>
  <si>
    <t>Frequente ação de puxar/empurrar cargas ou volumes.</t>
  </si>
  <si>
    <t>Exposição inferior a 10% da jornada</t>
  </si>
  <si>
    <t>H</t>
  </si>
  <si>
    <t>Condições de trabalho com índice de temperatura efetiva fora dos parâmetros de conforto.</t>
  </si>
  <si>
    <t>Exposição estimada acima 50% da jornada</t>
  </si>
  <si>
    <t>I</t>
  </si>
  <si>
    <t>MOBILIÁRIO_E_EQUIPAMENTOS</t>
  </si>
  <si>
    <t>Equipamentos e/ou máquinas sem meios de regulagem de ajuste ou sem condições de uso.</t>
  </si>
  <si>
    <t>J</t>
  </si>
  <si>
    <t>K</t>
  </si>
  <si>
    <t>ORGANIZACIONAIS</t>
  </si>
  <si>
    <t>Outros.</t>
  </si>
  <si>
    <t>L</t>
  </si>
  <si>
    <t>Condições de trabalho com níveis de pressão sonora fora dos parâmetros de conforto.</t>
  </si>
  <si>
    <t>M</t>
  </si>
  <si>
    <t>N</t>
  </si>
  <si>
    <t>O</t>
  </si>
  <si>
    <t>P</t>
  </si>
  <si>
    <t>Q</t>
  </si>
  <si>
    <t>R</t>
  </si>
  <si>
    <t>GRAU DE RISCO PONDERADO</t>
  </si>
  <si>
    <t>INCERTEZA</t>
  </si>
  <si>
    <t>Agente | Tipo</t>
  </si>
  <si>
    <t>Consequências / Impacto / Agravos à Saúde</t>
  </si>
  <si>
    <t>Critérios Adotados para Avaliação dos Riscos</t>
  </si>
  <si>
    <t>Fonte Geradora /
Circunstâncias</t>
  </si>
  <si>
    <t>QUALIFICAÇÃO</t>
  </si>
  <si>
    <t>ESTIMATIVA</t>
  </si>
  <si>
    <t>PROBABILIDADE</t>
  </si>
  <si>
    <t>GRAVIDADE</t>
  </si>
  <si>
    <t>ERGONÔMICO</t>
  </si>
  <si>
    <t>Dispositivos que dificultam a postura ereta</t>
  </si>
  <si>
    <t>Grupo XIII da CID-10</t>
  </si>
  <si>
    <t>SOBANE/DEPARIS</t>
  </si>
  <si>
    <t>Mobiliário sem meios de regulagem de ajuste</t>
  </si>
  <si>
    <t>CARACTERÍSTICA</t>
  </si>
  <si>
    <t>PROVÁVEL</t>
  </si>
  <si>
    <t>REVERSÍVEL LEVE</t>
  </si>
  <si>
    <t>ANUAL (P1)</t>
  </si>
  <si>
    <t>REVERSÍVEL SEVERO</t>
  </si>
  <si>
    <t>MONITORAR APÓS ADOTAR MEDIDAS DE CONTROLE (P1)</t>
  </si>
  <si>
    <t>IRREVERSÍVEL SEVERO</t>
  </si>
  <si>
    <t>FATAL OU INCAPACITANTE</t>
  </si>
  <si>
    <t>POUCO PROVÁVEL</t>
  </si>
  <si>
    <t>ANUAL (P2)</t>
  </si>
  <si>
    <t>SEMESTRAL (P1)</t>
  </si>
  <si>
    <t>TRIMESTRAL (P1)</t>
  </si>
  <si>
    <t>IMPROVÁVEL</t>
  </si>
  <si>
    <t>MONITORAMENTO PERIÓDICO NÃO NECESSÁRIO</t>
  </si>
  <si>
    <t>ALTAMENTE IMPROVÁVEL</t>
  </si>
  <si>
    <t>PSICOSSOCIAIS_E_COGNITIVOS</t>
  </si>
  <si>
    <t>Posto de trabalho improvisado.</t>
  </si>
  <si>
    <t>Trabalho realizado sem pausas pré-definidas para descanso.</t>
  </si>
  <si>
    <t>Excesso de situações de estresse.</t>
  </si>
  <si>
    <t>Postura sentada por longos períodos.</t>
  </si>
  <si>
    <t>Mobiliário sem meios de regulagem de ajuste.</t>
  </si>
  <si>
    <t>Necessidade de manter ritmos intensos de trabalho.</t>
  </si>
  <si>
    <t>Situações de sobrecarga de trabalho mental.</t>
  </si>
  <si>
    <t>Postura de pé por longos períodos.</t>
  </si>
  <si>
    <t>Trabalho com necessidade de variação de turnos</t>
  </si>
  <si>
    <t>Condições de trabalho com velocidade do ar fora dos parâmetros de conforto.</t>
  </si>
  <si>
    <t>Exigência de alto nível de concentração, atenção e memória.</t>
  </si>
  <si>
    <t>Frequente deslocamento a pé durante a jornada de trabalho.</t>
  </si>
  <si>
    <t>Posto de trabalho não planejado/adaptado para a posição sentada.</t>
  </si>
  <si>
    <t>Monotonia.</t>
  </si>
  <si>
    <t>Condições de trabalho com umidade do ar fora dos parâmetros de conforto.</t>
  </si>
  <si>
    <t>Trabalho em condições de difícil comunicação.</t>
  </si>
  <si>
    <t>Trabalho com esforço físico intenso.</t>
  </si>
  <si>
    <t>Assento inadequado.</t>
  </si>
  <si>
    <t>Trabalho noturno.</t>
  </si>
  <si>
    <t>Condições de trabalho com Iluminação diurna inadequada.</t>
  </si>
  <si>
    <t>Excesso de conflitos hierárquicos no trabalho.</t>
  </si>
  <si>
    <t>Encosto do assento inadequado ou ausente.</t>
  </si>
  <si>
    <t>Insuficiência de capacitação para execução da tarefa.</t>
  </si>
  <si>
    <t>Condições de trabalho com Iluminação noturna inadequada.</t>
  </si>
  <si>
    <t>Excesso de demandas emocionais/afetivas no trabalho.</t>
  </si>
  <si>
    <t>Mobiliário ou equipamento sem espaço para movimentação de segmentos corporais.</t>
  </si>
  <si>
    <t>Trabalho com utilização rigorosa de metas de produção.</t>
  </si>
  <si>
    <t>Presença de reflexos em telas, painéis, vidros, monitores ou qualquer superfície, que causem desconforto ou prejudiquem a visualização.</t>
  </si>
  <si>
    <t>Assédio de qualquer natureza no trabalho.</t>
  </si>
  <si>
    <t>Frequente execução de movimentos repetitivos.</t>
  </si>
  <si>
    <t>Trabalho com necessidade de alcançar objetos, documentos, controles ou qualquer ponto além das zonas de alcance ideais para as características antropométricas do trabalhador.</t>
  </si>
  <si>
    <t>Trabalho remunerado por produção.</t>
  </si>
  <si>
    <t>Trabalho com demandas divergentes (ordens divergentes, metas incompatíveis entre si, exigência de qualidade X quantidade, entre outras).</t>
  </si>
  <si>
    <t>Manuseio de ferramentas e/ou objetos pesados por longos períodos.</t>
  </si>
  <si>
    <t>Equipamentos ou mobiliários não adaptados à antropometria do trabalhador.</t>
  </si>
  <si>
    <t>Cadência do trabalho imposta por um equipamento.</t>
  </si>
  <si>
    <t>Exigência de realização de múltiplas tarefas, com alta demanda cognitiva.</t>
  </si>
  <si>
    <t>Exigência de uso frequente de força, pressão, preensão, flexão, extensão ou torção dos segmentos corporais.</t>
  </si>
  <si>
    <t>Desequilíbrio entre tempo de trabalho e tempo de repouso.</t>
  </si>
  <si>
    <t>Insatisfação no trabalho.</t>
  </si>
  <si>
    <t>Compressão de partes do corpo por superfícies rígidas ou com quinas.</t>
  </si>
  <si>
    <t>Falta de autonomia no trabalho.</t>
  </si>
  <si>
    <t>Exigência de flexões de coluna vertebral frequentes.</t>
  </si>
  <si>
    <t>Uso frequente de pedais.</t>
  </si>
  <si>
    <t>Uso frequente de alavancas.</t>
  </si>
  <si>
    <t>Exigência de elevação frequente de membros superiores.</t>
  </si>
  <si>
    <t>Exposição a vibração de corpo inteiro.</t>
  </si>
  <si>
    <t>Exposição a vibração localizada.</t>
  </si>
  <si>
    <t>Uso frequente de escadas.</t>
  </si>
  <si>
    <t>Trabalho intensivo com teclado ou outros dispositivos de entrada de dados.</t>
  </si>
  <si>
    <t>BIOMECANICOS</t>
  </si>
  <si>
    <t>MOBILIARIO_E_EQUIPAMENTOS</t>
  </si>
  <si>
    <t>Trabalho em posturas incômodas ou pouco confortáveis por longos períodos.</t>
  </si>
  <si>
    <t>Exposição a vibrações localizadas (mão-braço)</t>
  </si>
  <si>
    <t>Resultado</t>
  </si>
  <si>
    <t>Cor</t>
  </si>
  <si>
    <t>Peso</t>
  </si>
  <si>
    <t>Perfil de Exposição Quantitativo</t>
  </si>
  <si>
    <t>Fator de Proteção</t>
  </si>
  <si>
    <t>As medidas de controle existentes são adequadas, eficientes e há garantias de que sejam mantidas em longo prazo.</t>
  </si>
  <si>
    <t>ALTAMENTE PROVÁVEL</t>
  </si>
  <si>
    <t>GRAVIDADE DO DANO</t>
  </si>
  <si>
    <t>CRITÉRIO UTILIZADO 
(GENÉRICO)</t>
  </si>
  <si>
    <t>EXEMPLOS</t>
  </si>
  <si>
    <t>Lesões leves, queixas pontuais que não implique em afastamento não superior a 15 dias etc.</t>
  </si>
  <si>
    <t xml:space="preserve"> Tendinites agudas, lesão reversível que implique em afastamento superior a 15 dias etc.</t>
  </si>
  <si>
    <t>Síndromes osteomusculares crônicas, lesões com sequelas que impliquem em afastamentos de longa duração ou em limitações da capacidade funcional.</t>
  </si>
  <si>
    <t>Lesão ou doença incapacitante ou fatal. Doença ocupacional que resulte em aposentadoria por invalidez.</t>
  </si>
  <si>
    <t>Perda de membros ou órgãos que incapacitem definitivamente para o trabalho</t>
  </si>
  <si>
    <t>MONITORAR IMEDIATAMENTE APÓS ADOTAR MEDIDAS DE CONTROLE (P1)</t>
  </si>
  <si>
    <t>IQCT
Indicador da Qualidade das Condições de Trabalho</t>
  </si>
  <si>
    <t>ENCONTRADO</t>
  </si>
  <si>
    <t>MÍNIMO</t>
  </si>
  <si>
    <t>IDEAL</t>
  </si>
  <si>
    <t>IQCT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</si>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</sst>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i/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i/>
      <sz val="7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8"/>
      <color rgb="FFFFFFFF"/>
      <name val="Arial"/>
      <family val="2"/>
    </font>
    <font>
      <i/>
      <sz val="8"/>
      <color rgb="FF00000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1"/>
      <color theme="0" tint="-0.34998626667073579"/>
      <name val="Arial"/>
      <family val="2"/>
    </font>
    <font>
      <sz val="11"/>
      <color theme="0" tint="-0.34998626667073579"/>
      <name val="Calibri"/>
      <family val="2"/>
      <scheme val="minor"/>
    </font>
    <font>
      <sz val="9"/>
      <color theme="0" tint="-0.34998626667073579"/>
      <name val="Arial"/>
      <family val="2"/>
    </font>
    <font>
      <sz val="10"/>
      <color theme="0" tint="-0.34998626667073579"/>
      <name val="Arial"/>
      <family val="2"/>
    </font>
    <font>
      <sz val="10"/>
      <color theme="0" tint="-0.34998626667073579"/>
      <name val="Calibri"/>
      <family val="2"/>
      <scheme val="minor"/>
    </font>
    <font>
      <b/>
      <sz val="6"/>
      <color theme="0"/>
      <name val="Arial"/>
      <family val="2"/>
    </font>
    <font>
      <b/>
      <sz val="36"/>
      <color theme="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-0.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" fillId="0" borderId="0"/>
  </cellStyleXfs>
  <cellXfs count="1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9" fillId="0" borderId="0" xfId="0" applyFont="1"/>
    <xf numFmtId="0" fontId="10" fillId="8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2"/>
    <xf numFmtId="0" fontId="10" fillId="8" borderId="0" xfId="2" applyFont="1" applyFill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2" fillId="0" borderId="0" xfId="2" applyAlignment="1">
      <alignment horizontal="center" vertical="center"/>
    </xf>
    <xf numFmtId="0" fontId="13" fillId="11" borderId="3" xfId="3" applyFont="1" applyFill="1" applyBorder="1" applyAlignment="1">
      <alignment horizontal="center" vertical="center" wrapText="1"/>
    </xf>
    <xf numFmtId="0" fontId="13" fillId="11" borderId="7" xfId="3" applyFont="1" applyFill="1" applyBorder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14" fillId="0" borderId="11" xfId="3" applyFont="1" applyBorder="1" applyAlignment="1">
      <alignment horizontal="center" vertical="center" wrapText="1"/>
    </xf>
    <xf numFmtId="0" fontId="15" fillId="0" borderId="11" xfId="3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0" fontId="16" fillId="0" borderId="14" xfId="2" applyFont="1" applyBorder="1" applyAlignment="1">
      <alignment horizontal="center" vertical="center"/>
    </xf>
    <xf numFmtId="0" fontId="17" fillId="0" borderId="15" xfId="2" applyFont="1" applyBorder="1" applyAlignment="1" applyProtection="1">
      <alignment horizontal="center" vertical="center" wrapText="1"/>
      <protection locked="0"/>
    </xf>
    <xf numFmtId="0" fontId="15" fillId="0" borderId="16" xfId="2" applyFont="1" applyBorder="1" applyAlignment="1">
      <alignment horizontal="center" vertical="center" wrapText="1"/>
    </xf>
    <xf numFmtId="0" fontId="15" fillId="0" borderId="12" xfId="2" applyFont="1" applyBorder="1" applyAlignment="1" applyProtection="1">
      <alignment horizontal="center" vertical="center" wrapText="1"/>
      <protection locked="0"/>
    </xf>
    <xf numFmtId="0" fontId="15" fillId="0" borderId="13" xfId="2" applyFont="1" applyBorder="1" applyAlignment="1" applyProtection="1">
      <alignment horizontal="center" vertical="center" wrapText="1"/>
      <protection locked="0"/>
    </xf>
    <xf numFmtId="0" fontId="18" fillId="8" borderId="1" xfId="2" applyFont="1" applyFill="1" applyBorder="1" applyAlignment="1">
      <alignment horizontal="center" vertical="center" wrapText="1"/>
    </xf>
    <xf numFmtId="0" fontId="18" fillId="8" borderId="2" xfId="2" applyFont="1" applyFill="1" applyBorder="1" applyAlignment="1">
      <alignment horizontal="center" vertical="center" wrapText="1"/>
    </xf>
    <xf numFmtId="0" fontId="18" fillId="7" borderId="1" xfId="2" applyFont="1" applyFill="1" applyBorder="1" applyAlignment="1">
      <alignment horizontal="center" vertical="center" wrapText="1"/>
    </xf>
    <xf numFmtId="0" fontId="18" fillId="7" borderId="2" xfId="2" applyFont="1" applyFill="1" applyBorder="1" applyAlignment="1">
      <alignment horizontal="center" vertical="center" wrapText="1"/>
    </xf>
    <xf numFmtId="0" fontId="5" fillId="6" borderId="1" xfId="2" applyFont="1" applyFill="1" applyBorder="1" applyAlignment="1">
      <alignment horizontal="center" vertical="center" wrapText="1"/>
    </xf>
    <xf numFmtId="0" fontId="19" fillId="6" borderId="2" xfId="2" applyFont="1" applyFill="1" applyBorder="1" applyAlignment="1">
      <alignment horizontal="center" vertical="center" wrapText="1"/>
    </xf>
    <xf numFmtId="0" fontId="18" fillId="5" borderId="3" xfId="2" applyFont="1" applyFill="1" applyBorder="1" applyAlignment="1">
      <alignment horizontal="center" vertical="center" wrapText="1"/>
    </xf>
    <xf numFmtId="0" fontId="18" fillId="12" borderId="1" xfId="2" applyFont="1" applyFill="1" applyBorder="1" applyAlignment="1">
      <alignment horizontal="center" vertical="center" wrapText="1"/>
    </xf>
    <xf numFmtId="0" fontId="18" fillId="12" borderId="2" xfId="2" applyFont="1" applyFill="1" applyBorder="1" applyAlignment="1">
      <alignment horizontal="center" vertical="center" wrapText="1"/>
    </xf>
    <xf numFmtId="0" fontId="10" fillId="10" borderId="7" xfId="2" applyFont="1" applyFill="1" applyBorder="1" applyAlignment="1">
      <alignment vertical="center"/>
    </xf>
    <xf numFmtId="0" fontId="10" fillId="10" borderId="4" xfId="2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/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11" borderId="0" xfId="3" applyFont="1" applyFill="1" applyAlignment="1">
      <alignment horizontal="center" vertical="center" wrapText="1"/>
    </xf>
    <xf numFmtId="0" fontId="15" fillId="0" borderId="0" xfId="3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6" fillId="0" borderId="17" xfId="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9" fontId="16" fillId="0" borderId="19" xfId="1" applyFont="1" applyBorder="1" applyAlignment="1">
      <alignment horizontal="center" vertical="center" wrapText="1"/>
    </xf>
    <xf numFmtId="2" fontId="12" fillId="0" borderId="0" xfId="1" applyNumberFormat="1" applyFont="1" applyAlignment="1">
      <alignment horizontal="center" vertical="center"/>
    </xf>
    <xf numFmtId="2" fontId="12" fillId="0" borderId="0" xfId="2" applyNumberFormat="1" applyAlignment="1">
      <alignment horizontal="center" vertical="center"/>
    </xf>
    <xf numFmtId="164" fontId="12" fillId="0" borderId="0" xfId="2" applyNumberFormat="1" applyAlignment="1">
      <alignment horizontal="center" vertical="center"/>
    </xf>
    <xf numFmtId="1" fontId="12" fillId="0" borderId="0" xfId="2" applyNumberFormat="1" applyAlignment="1">
      <alignment horizontal="center" vertical="center"/>
    </xf>
    <xf numFmtId="0" fontId="11" fillId="14" borderId="17" xfId="0" applyFont="1" applyFill="1" applyBorder="1" applyAlignment="1">
      <alignment horizontal="center"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0" fontId="12" fillId="0" borderId="20" xfId="0" applyFont="1" applyBorder="1" applyAlignment="1" applyProtection="1">
      <alignment horizontal="center" vertical="center"/>
      <protection locked="0"/>
    </xf>
    <xf numFmtId="0" fontId="12" fillId="0" borderId="21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center" vertical="center" wrapText="1"/>
      <protection locked="0"/>
    </xf>
    <xf numFmtId="0" fontId="12" fillId="0" borderId="20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 applyProtection="1">
      <alignment horizontal="center" vertical="center" wrapText="1"/>
      <protection locked="0"/>
    </xf>
    <xf numFmtId="0" fontId="16" fillId="0" borderId="17" xfId="2" applyFont="1" applyBorder="1" applyAlignment="1">
      <alignment horizontal="center" vertical="center" wrapText="1"/>
    </xf>
    <xf numFmtId="0" fontId="20" fillId="0" borderId="17" xfId="0" applyFont="1" applyBorder="1" applyAlignment="1" applyProtection="1">
      <alignment horizontal="center" vertical="center"/>
      <protection locked="0"/>
    </xf>
    <xf numFmtId="9" fontId="20" fillId="0" borderId="17" xfId="1" applyFont="1" applyBorder="1" applyAlignment="1">
      <alignment horizontal="center" vertical="center"/>
    </xf>
    <xf numFmtId="0" fontId="20" fillId="0" borderId="17" xfId="0" applyFont="1" applyBorder="1" applyAlignment="1" applyProtection="1">
      <alignment horizontal="center" vertical="center" wrapText="1"/>
      <protection locked="0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/>
    </xf>
    <xf numFmtId="0" fontId="16" fillId="0" borderId="17" xfId="0" applyFont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17" xfId="0" applyFont="1" applyBorder="1" applyAlignment="1">
      <alignment horizontal="right" vertical="center"/>
    </xf>
    <xf numFmtId="0" fontId="20" fillId="0" borderId="17" xfId="0" applyFont="1" applyBorder="1" applyAlignment="1" applyProtection="1">
      <alignment horizontal="left" vertical="center" wrapText="1"/>
      <protection locked="0"/>
    </xf>
    <xf numFmtId="0" fontId="3" fillId="0" borderId="17" xfId="0" applyFont="1" applyBorder="1" applyAlignment="1" applyProtection="1">
      <alignment horizontal="left" vertical="center" wrapText="1"/>
      <protection locked="0"/>
    </xf>
    <xf numFmtId="0" fontId="4" fillId="0" borderId="17" xfId="0" applyFont="1" applyBorder="1" applyAlignment="1">
      <alignment horizontal="center" vertical="center" wrapText="1"/>
    </xf>
    <xf numFmtId="0" fontId="4" fillId="16" borderId="17" xfId="0" applyFont="1" applyFill="1" applyBorder="1" applyAlignment="1">
      <alignment horizontal="center" vertical="center" wrapText="1"/>
    </xf>
    <xf numFmtId="0" fontId="4" fillId="16" borderId="18" xfId="0" applyFont="1" applyFill="1" applyBorder="1" applyAlignment="1">
      <alignment horizontal="center" vertical="center" wrapText="1"/>
    </xf>
    <xf numFmtId="0" fontId="30" fillId="3" borderId="0" xfId="0" applyFont="1" applyFill="1" applyAlignment="1">
      <alignment horizontal="center" vertical="center"/>
    </xf>
    <xf numFmtId="0" fontId="23" fillId="0" borderId="17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>
      <alignment horizontal="right" vertical="center"/>
    </xf>
    <xf numFmtId="0" fontId="21" fillId="17" borderId="17" xfId="0" applyFont="1" applyFill="1" applyBorder="1" applyAlignment="1">
      <alignment horizontal="center" vertical="center" wrapText="1"/>
    </xf>
    <xf numFmtId="0" fontId="21" fillId="17" borderId="17" xfId="0" applyFont="1" applyFill="1" applyBorder="1" applyAlignment="1">
      <alignment horizontal="center" vertical="center"/>
    </xf>
    <xf numFmtId="0" fontId="21" fillId="17" borderId="18" xfId="0" applyFont="1" applyFill="1" applyBorder="1" applyAlignment="1">
      <alignment horizontal="center" vertical="center"/>
    </xf>
    <xf numFmtId="0" fontId="21" fillId="17" borderId="1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16" borderId="17" xfId="0" applyFont="1" applyFill="1" applyBorder="1" applyAlignment="1">
      <alignment horizontal="center" vertical="center"/>
    </xf>
    <xf numFmtId="0" fontId="4" fillId="16" borderId="18" xfId="0" applyFont="1" applyFill="1" applyBorder="1" applyAlignment="1">
      <alignment horizontal="center" vertical="center"/>
    </xf>
    <xf numFmtId="0" fontId="21" fillId="15" borderId="17" xfId="0" applyFont="1" applyFill="1" applyBorder="1" applyAlignment="1">
      <alignment horizontal="center" vertical="center" wrapText="1"/>
    </xf>
    <xf numFmtId="0" fontId="21" fillId="15" borderId="17" xfId="0" applyFont="1" applyFill="1" applyBorder="1" applyAlignment="1">
      <alignment horizontal="center" vertical="center"/>
    </xf>
    <xf numFmtId="0" fontId="21" fillId="15" borderId="18" xfId="0" applyFont="1" applyFill="1" applyBorder="1" applyAlignment="1">
      <alignment horizontal="center" vertical="center"/>
    </xf>
    <xf numFmtId="0" fontId="14" fillId="0" borderId="17" xfId="2" applyFont="1" applyBorder="1" applyAlignment="1">
      <alignment horizontal="center" vertical="center"/>
    </xf>
    <xf numFmtId="0" fontId="10" fillId="18" borderId="17" xfId="0" applyFont="1" applyFill="1" applyBorder="1" applyAlignment="1">
      <alignment horizontal="center" vertical="center" wrapText="1"/>
    </xf>
    <xf numFmtId="9" fontId="11" fillId="0" borderId="17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1" fillId="15" borderId="18" xfId="0" applyFont="1" applyFill="1" applyBorder="1" applyAlignment="1">
      <alignment horizontal="center" vertical="center" wrapText="1"/>
    </xf>
    <xf numFmtId="0" fontId="21" fillId="13" borderId="22" xfId="0" applyFont="1" applyFill="1" applyBorder="1" applyAlignment="1">
      <alignment horizontal="center" vertical="center" wrapText="1"/>
    </xf>
    <xf numFmtId="0" fontId="21" fillId="13" borderId="0" xfId="0" applyFont="1" applyFill="1" applyAlignment="1">
      <alignment horizontal="center" vertical="center" wrapText="1"/>
    </xf>
    <xf numFmtId="0" fontId="10" fillId="9" borderId="9" xfId="2" applyFont="1" applyFill="1" applyBorder="1" applyAlignment="1">
      <alignment horizontal="center" vertical="center"/>
    </xf>
    <xf numFmtId="0" fontId="10" fillId="9" borderId="10" xfId="2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 vertical="center"/>
    </xf>
    <xf numFmtId="0" fontId="11" fillId="2" borderId="8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4" fillId="0" borderId="23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/>
    </xf>
  </cellXfs>
  <cellStyles count="4">
    <cellStyle name="Normal" xfId="0" builtinId="0"/>
    <cellStyle name="Normal 2" xfId="2" xr:uid="{B460859C-50FC-437A-ACEF-948B6573015F}"/>
    <cellStyle name="Normal 2 2" xfId="3" xr:uid="{C80FB83D-43AF-4A77-8B12-DA8B17C4E651}"/>
    <cellStyle name="Porcentagem" xfId="1" builtinId="5"/>
  </cellStyles>
  <dxfs count="43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CC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3</xdr:col>
      <xdr:colOff>94433</xdr:colOff>
      <xdr:row>3</xdr:row>
      <xdr:rowOff>56488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ABEC642-B90C-0415-4E82-BEED3AB5A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50446" cy="8729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79208</xdr:colOff>
      <xdr:row>1</xdr:row>
      <xdr:rowOff>109728</xdr:rowOff>
    </xdr:from>
    <xdr:to>
      <xdr:col>19</xdr:col>
      <xdr:colOff>559886</xdr:colOff>
      <xdr:row>16</xdr:row>
      <xdr:rowOff>15141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D0B1EB-2DCB-3C4B-B969-93F2ABEB3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8027" y="292608"/>
          <a:ext cx="4986841" cy="26486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14</xdr:row>
      <xdr:rowOff>175260</xdr:rowOff>
    </xdr:from>
    <xdr:to>
      <xdr:col>4</xdr:col>
      <xdr:colOff>1052178</xdr:colOff>
      <xdr:row>29</xdr:row>
      <xdr:rowOff>80673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6810D7-1A51-4E31-9B5C-D44174123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580" y="5219700"/>
          <a:ext cx="4732638" cy="26486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higor.eleuterio\Downloads\wsh_lifting_guidelines_283313_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IOSH Lifting Equation"/>
      <sheetName val="NIOSH Lifting Equation - METRIC"/>
      <sheetName val="NIOSH CLI"/>
      <sheetName val="NIOSH CLI - METRIC"/>
      <sheetName val="PULL"/>
      <sheetName val="PUSH"/>
      <sheetName val="CARRY"/>
      <sheetName val="Lift Data "/>
      <sheetName val="Lower Data"/>
      <sheetName val="Push Data "/>
      <sheetName val="Pull Data"/>
      <sheetName val="Carry Data"/>
    </sheetNames>
    <sheetDataSet>
      <sheetData sheetId="0">
        <row r="20">
          <cell r="H20">
            <v>0</v>
          </cell>
        </row>
        <row r="22">
          <cell r="L22">
            <v>0</v>
          </cell>
        </row>
        <row r="23">
          <cell r="H23">
            <v>0</v>
          </cell>
        </row>
        <row r="26">
          <cell r="H26">
            <v>0</v>
          </cell>
        </row>
        <row r="29">
          <cell r="H29">
            <v>0</v>
          </cell>
        </row>
        <row r="32">
          <cell r="H32">
            <v>0</v>
          </cell>
        </row>
        <row r="33">
          <cell r="L33">
            <v>0</v>
          </cell>
        </row>
        <row r="38">
          <cell r="H38">
            <v>0</v>
          </cell>
        </row>
      </sheetData>
      <sheetData sheetId="1">
        <row r="22">
          <cell r="L2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3A3E-5038-404D-A7B3-8D1390CFFA92}">
  <dimension ref="B2:G17"/>
  <sheetViews>
    <sheetView workbookViewId="0">
      <selection activeCell="F9" sqref="F9"/>
    </sheetView>
  </sheetViews>
  <sheetFormatPr defaultColWidth="8.7109375" defaultRowHeight="14.25" x14ac:dyDescent="0.2"/>
  <cols>
    <col min="1" max="1" width="8.7109375" style="17"/>
    <col min="2" max="2" width="15.140625" style="20" bestFit="1" customWidth="1"/>
    <col min="3" max="3" width="22.85546875" style="20" bestFit="1" customWidth="1"/>
    <col min="4" max="4" width="43.85546875" style="20" customWidth="1"/>
    <col min="5" max="16384" width="8.7109375" style="17"/>
  </cols>
  <sheetData>
    <row r="2" spans="2:7" ht="15" thickBot="1" x14ac:dyDescent="0.25"/>
    <row r="3" spans="2:7" ht="15" thickBot="1" x14ac:dyDescent="0.25">
      <c r="B3" s="20" t="s">
        <v>0</v>
      </c>
      <c r="C3" s="20" t="s">
        <v>1</v>
      </c>
      <c r="D3" s="35" t="s">
        <v>2</v>
      </c>
      <c r="G3" s="20" t="s">
        <v>1</v>
      </c>
    </row>
    <row r="4" spans="2:7" ht="23.25" thickBot="1" x14ac:dyDescent="0.25">
      <c r="B4" s="20" t="s">
        <v>0</v>
      </c>
      <c r="C4" s="20" t="s">
        <v>3</v>
      </c>
      <c r="D4" s="36" t="s">
        <v>4</v>
      </c>
      <c r="G4" s="20" t="s">
        <v>3</v>
      </c>
    </row>
    <row r="5" spans="2:7" ht="23.25" thickBot="1" x14ac:dyDescent="0.25">
      <c r="B5" s="20" t="s">
        <v>0</v>
      </c>
      <c r="C5" s="20" t="s">
        <v>5</v>
      </c>
      <c r="D5" s="36" t="s">
        <v>4</v>
      </c>
      <c r="G5" s="20" t="s">
        <v>5</v>
      </c>
    </row>
    <row r="6" spans="2:7" ht="15" thickBot="1" x14ac:dyDescent="0.25">
      <c r="B6" s="20" t="s">
        <v>6</v>
      </c>
      <c r="C6" s="20" t="s">
        <v>1</v>
      </c>
      <c r="D6" s="37" t="s">
        <v>2</v>
      </c>
    </row>
    <row r="7" spans="2:7" ht="23.25" thickBot="1" x14ac:dyDescent="0.25">
      <c r="B7" s="20" t="s">
        <v>6</v>
      </c>
      <c r="C7" s="20" t="s">
        <v>3</v>
      </c>
      <c r="D7" s="38" t="s">
        <v>7</v>
      </c>
    </row>
    <row r="8" spans="2:7" ht="23.25" thickBot="1" x14ac:dyDescent="0.25">
      <c r="B8" s="20" t="s">
        <v>6</v>
      </c>
      <c r="C8" s="20" t="s">
        <v>5</v>
      </c>
      <c r="D8" s="38" t="s">
        <v>4</v>
      </c>
    </row>
    <row r="9" spans="2:7" ht="23.25" thickBot="1" x14ac:dyDescent="0.25">
      <c r="B9" s="20" t="s">
        <v>8</v>
      </c>
      <c r="C9" s="20" t="s">
        <v>1</v>
      </c>
      <c r="D9" s="39" t="s">
        <v>9</v>
      </c>
    </row>
    <row r="10" spans="2:7" ht="23.25" thickBot="1" x14ac:dyDescent="0.25">
      <c r="B10" s="20" t="s">
        <v>8</v>
      </c>
      <c r="C10" s="20" t="s">
        <v>3</v>
      </c>
      <c r="D10" s="40" t="s">
        <v>10</v>
      </c>
    </row>
    <row r="11" spans="2:7" ht="23.25" thickBot="1" x14ac:dyDescent="0.25">
      <c r="B11" s="20" t="s">
        <v>8</v>
      </c>
      <c r="C11" s="20" t="s">
        <v>5</v>
      </c>
      <c r="D11" s="40" t="s">
        <v>11</v>
      </c>
    </row>
    <row r="12" spans="2:7" ht="23.25" thickBot="1" x14ac:dyDescent="0.25">
      <c r="B12" s="20" t="s">
        <v>12</v>
      </c>
      <c r="C12" s="20" t="s">
        <v>1</v>
      </c>
      <c r="D12" s="41" t="s">
        <v>13</v>
      </c>
    </row>
    <row r="13" spans="2:7" ht="15" thickBot="1" x14ac:dyDescent="0.25">
      <c r="B13" s="20" t="s">
        <v>12</v>
      </c>
      <c r="C13" s="20" t="s">
        <v>3</v>
      </c>
      <c r="D13" s="41" t="s">
        <v>14</v>
      </c>
    </row>
    <row r="14" spans="2:7" ht="15" thickBot="1" x14ac:dyDescent="0.25">
      <c r="B14" s="20" t="s">
        <v>12</v>
      </c>
      <c r="C14" s="20" t="s">
        <v>5</v>
      </c>
      <c r="D14" s="41" t="s">
        <v>15</v>
      </c>
    </row>
    <row r="15" spans="2:7" ht="15" thickBot="1" x14ac:dyDescent="0.25">
      <c r="B15" s="20" t="s">
        <v>16</v>
      </c>
      <c r="C15" s="20" t="s">
        <v>1</v>
      </c>
      <c r="D15" s="42" t="s">
        <v>17</v>
      </c>
    </row>
    <row r="16" spans="2:7" ht="15" thickBot="1" x14ac:dyDescent="0.25">
      <c r="B16" s="20" t="s">
        <v>16</v>
      </c>
      <c r="C16" s="20" t="s">
        <v>3</v>
      </c>
      <c r="D16" s="43" t="s">
        <v>18</v>
      </c>
    </row>
    <row r="17" spans="2:4" ht="15" thickBot="1" x14ac:dyDescent="0.25">
      <c r="B17" s="20" t="s">
        <v>16</v>
      </c>
      <c r="C17" s="20" t="s">
        <v>5</v>
      </c>
      <c r="D17" s="43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580B-E62B-4D08-9C00-94441BC1AC3C}">
  <sheetPr>
    <tabColor theme="3"/>
    <pageSetUpPr fitToPage="1"/>
  </sheetPr>
  <dimension ref="A1:DR28"/>
  <sheetViews>
    <sheetView showGridLines="0" tabSelected="1" view="pageBreakPreview" zoomScaleNormal="100" zoomScaleSheetLayoutView="100" workbookViewId="0">
      <pane ySplit="8" topLeftCell="A11" activePane="bottomLeft" state="frozen"/>
      <selection pane="bottomLeft" activeCell="B9" sqref="B9:J9"/>
    </sheetView>
  </sheetViews>
  <sheetFormatPr defaultRowHeight="15" x14ac:dyDescent="0.25"/>
  <cols>
    <col min="1" max="2" width="3.28515625" customWidth="1"/>
    <col min="3" max="3" width="5" customWidth="1"/>
    <col min="4" max="11" width="3.28515625" customWidth="1"/>
    <col min="12" max="12" width="3.42578125" customWidth="1"/>
    <col min="13" max="14" width="3.28515625" customWidth="1"/>
    <col min="15" max="15" width="13" customWidth="1"/>
    <col min="16" max="21" width="3.28515625" customWidth="1"/>
    <col min="22" max="22" width="6.42578125" customWidth="1"/>
    <col min="23" max="25" width="3.28515625" customWidth="1"/>
    <col min="26" max="26" width="9.140625" customWidth="1"/>
    <col min="27" max="27" width="3.28515625" customWidth="1"/>
    <col min="28" max="28" width="4.42578125" customWidth="1"/>
    <col min="29" max="32" width="3.28515625" customWidth="1"/>
    <col min="33" max="33" width="2.5703125" customWidth="1"/>
    <col min="34" max="38" width="3.28515625" customWidth="1"/>
    <col min="39" max="39" width="7.140625" customWidth="1"/>
    <col min="40" max="45" width="3.28515625" customWidth="1"/>
    <col min="46" max="46" width="5.7109375" customWidth="1"/>
    <col min="47" max="47" width="4.28515625" customWidth="1"/>
    <col min="48" max="50" width="3.28515625" customWidth="1"/>
    <col min="51" max="51" width="11.28515625" customWidth="1"/>
    <col min="52" max="52" width="3.28515625" hidden="1" customWidth="1"/>
    <col min="53" max="55" width="3.28515625" customWidth="1"/>
    <col min="56" max="56" width="7.140625" customWidth="1"/>
    <col min="57" max="57" width="6.85546875" customWidth="1"/>
    <col min="58" max="59" width="3.28515625" customWidth="1"/>
    <col min="60" max="60" width="6.7109375" customWidth="1"/>
    <col min="61" max="61" width="3.5703125" customWidth="1"/>
    <col min="62" max="63" width="3.28515625" customWidth="1"/>
    <col min="64" max="64" width="5.140625" customWidth="1"/>
    <col min="65" max="67" width="3.28515625" customWidth="1"/>
    <col min="68" max="68" width="5.5703125" customWidth="1"/>
    <col min="69" max="73" width="3.28515625" customWidth="1"/>
    <col min="74" max="74" width="8.140625" style="3" customWidth="1"/>
    <col min="75" max="75" width="4.7109375" style="3" customWidth="1"/>
    <col min="76" max="76" width="12.28515625" style="3" customWidth="1"/>
    <col min="77" max="77" width="10.28515625" style="3" customWidth="1"/>
    <col min="78" max="78" width="4.7109375" style="3" customWidth="1"/>
    <col min="79" max="80" width="2" style="3" customWidth="1"/>
    <col min="81" max="81" width="4" style="3" bestFit="1" customWidth="1"/>
    <col min="82" max="93" width="2" style="3" customWidth="1"/>
    <col min="94" max="94" width="3.28515625" style="3" customWidth="1"/>
    <col min="95" max="95" width="6.28515625" style="3" customWidth="1"/>
    <col min="96" max="96" width="4" style="3" bestFit="1" customWidth="1"/>
    <col min="97" max="97" width="3.42578125" customWidth="1"/>
    <col min="98" max="106" width="3.28515625" customWidth="1"/>
    <col min="107" max="107" width="7.7109375" bestFit="1" customWidth="1"/>
    <col min="108" max="119" width="3.28515625" customWidth="1"/>
  </cols>
  <sheetData>
    <row r="1" spans="1:121" ht="20.65" customHeight="1" x14ac:dyDescent="0.25">
      <c r="A1" s="96" t="s">
        <v>19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46"/>
      <c r="CQ1" s="46"/>
      <c r="CR1" s="46"/>
      <c r="CS1" s="47"/>
      <c r="CT1" s="47"/>
      <c r="CU1" s="47"/>
      <c r="CV1" s="47"/>
      <c r="CW1" s="47"/>
      <c r="CX1" s="47"/>
      <c r="CY1" s="47"/>
      <c r="CZ1" s="47"/>
      <c r="DA1" s="48"/>
      <c r="DB1" s="48"/>
      <c r="DC1" s="48"/>
    </row>
    <row r="2" spans="1:121" ht="20.65" customHeight="1" x14ac:dyDescent="0.25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  <c r="BN2" s="96"/>
      <c r="BO2" s="96"/>
      <c r="BP2" s="96"/>
      <c r="BQ2" s="96"/>
      <c r="BR2" s="96"/>
      <c r="BS2" s="96"/>
      <c r="BT2" s="96"/>
      <c r="BU2" s="96"/>
      <c r="BV2" s="96"/>
      <c r="BW2" s="96"/>
      <c r="BX2" s="96"/>
      <c r="BY2" s="96"/>
      <c r="BZ2" s="96"/>
      <c r="CA2" s="96"/>
      <c r="CB2" s="96"/>
      <c r="CC2" s="96"/>
      <c r="CD2" s="96"/>
      <c r="CE2" s="96"/>
      <c r="CF2" s="96"/>
      <c r="CG2" s="96"/>
      <c r="CH2" s="96"/>
      <c r="CI2" s="96"/>
      <c r="CJ2" s="96"/>
      <c r="CK2" s="96"/>
      <c r="CL2" s="96"/>
      <c r="CM2" s="96"/>
      <c r="CN2" s="96"/>
      <c r="CO2" s="96"/>
      <c r="CP2" s="46"/>
      <c r="CQ2" s="46"/>
      <c r="CR2" s="46"/>
      <c r="CS2" s="47"/>
      <c r="CT2" s="47"/>
      <c r="CU2" s="47"/>
      <c r="CV2" s="47"/>
      <c r="CW2" s="47"/>
      <c r="CX2" s="47"/>
      <c r="CY2" s="47"/>
      <c r="CZ2" s="47"/>
      <c r="DA2" s="48"/>
      <c r="DB2" s="48"/>
      <c r="DC2" s="48"/>
    </row>
    <row r="3" spans="1:121" ht="20.65" customHeight="1" x14ac:dyDescent="0.25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49"/>
      <c r="CQ3" s="56"/>
      <c r="CR3" s="56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</row>
    <row r="4" spans="1:121" ht="33" customHeight="1" x14ac:dyDescent="0.25">
      <c r="A4" s="90" t="s">
        <v>20</v>
      </c>
      <c r="B4" s="90"/>
      <c r="C4" s="90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2"/>
      <c r="Z4" s="90" t="s">
        <v>21</v>
      </c>
      <c r="AA4" s="90"/>
      <c r="AB4" s="90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50"/>
      <c r="AW4" s="93" t="s">
        <v>22</v>
      </c>
      <c r="AX4" s="93"/>
      <c r="AY4" s="93"/>
      <c r="AZ4" s="93"/>
      <c r="BA4" s="97">
        <v>8</v>
      </c>
      <c r="BB4" s="97"/>
      <c r="BC4" s="53"/>
      <c r="BD4" s="98" t="s">
        <v>23</v>
      </c>
      <c r="BE4" s="98"/>
      <c r="BF4" s="98"/>
      <c r="BG4" s="98"/>
      <c r="BH4" s="98"/>
      <c r="BI4" s="98"/>
      <c r="BJ4" s="98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54" t="s">
        <v>24</v>
      </c>
      <c r="BZ4" s="88"/>
      <c r="CA4" s="89"/>
      <c r="CB4" s="89"/>
      <c r="CC4" s="89"/>
      <c r="CD4" s="89"/>
      <c r="CE4" s="89"/>
      <c r="CF4" s="89"/>
      <c r="CG4" s="89"/>
      <c r="CH4" s="89"/>
      <c r="CI4" s="89"/>
      <c r="CJ4" s="89"/>
      <c r="CK4" s="89"/>
      <c r="CL4" s="89"/>
      <c r="CM4" s="89"/>
      <c r="CN4" s="89"/>
      <c r="CO4" s="89"/>
      <c r="CP4" s="48"/>
      <c r="CQ4" s="57"/>
      <c r="CR4" s="56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</row>
    <row r="5" spans="1:121" ht="33" customHeight="1" x14ac:dyDescent="0.25">
      <c r="A5" s="90" t="s">
        <v>25</v>
      </c>
      <c r="B5" s="90"/>
      <c r="C5" s="90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2"/>
      <c r="Z5" s="90" t="s">
        <v>26</v>
      </c>
      <c r="AA5" s="90"/>
      <c r="AB5" s="90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50"/>
      <c r="AW5" s="93"/>
      <c r="AX5" s="93"/>
      <c r="AY5" s="93"/>
      <c r="AZ5" s="93"/>
      <c r="BA5" s="97"/>
      <c r="BB5" s="97"/>
      <c r="BC5" s="53"/>
      <c r="BD5" s="98" t="s">
        <v>27</v>
      </c>
      <c r="BE5" s="98"/>
      <c r="BF5" s="98"/>
      <c r="BG5" s="98"/>
      <c r="BH5" s="98"/>
      <c r="BI5" s="98"/>
      <c r="BJ5" s="98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110" t="s">
        <v>197</v>
      </c>
      <c r="BZ5" s="110"/>
      <c r="CA5" s="110"/>
      <c r="CB5" s="110"/>
      <c r="CC5" s="111" t="str">
        <f>IF(K9="","-",LANÇAMENTOS!O4)</f>
        <v>-</v>
      </c>
      <c r="CD5" s="111"/>
      <c r="CE5" s="111"/>
      <c r="CF5" s="109" t="str">
        <f>IF(K9="","-",LANÇAMENTOS!P4)</f>
        <v>-</v>
      </c>
      <c r="CG5" s="109"/>
      <c r="CH5" s="109"/>
      <c r="CI5" s="109"/>
      <c r="CJ5" s="109"/>
      <c r="CK5" s="109"/>
      <c r="CL5" s="50"/>
      <c r="CM5" s="50"/>
      <c r="CN5" s="50"/>
      <c r="CO5" s="50"/>
      <c r="CP5" s="48"/>
      <c r="CQ5" s="57"/>
      <c r="CR5" s="56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</row>
    <row r="6" spans="1:121" ht="14.45" customHeight="1" x14ac:dyDescent="0.25"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50"/>
      <c r="AW6" s="50"/>
      <c r="AX6" s="50"/>
      <c r="AY6" s="50"/>
      <c r="AZ6" s="50"/>
      <c r="BA6" s="50"/>
      <c r="BB6" s="50"/>
      <c r="BC6" s="50"/>
      <c r="BD6" s="50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56"/>
      <c r="CM6" s="56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</row>
    <row r="7" spans="1:121" ht="14.45" customHeight="1" x14ac:dyDescent="0.25">
      <c r="A7" s="48"/>
      <c r="B7" s="94" t="s">
        <v>28</v>
      </c>
      <c r="C7" s="94"/>
      <c r="D7" s="94"/>
      <c r="E7" s="94"/>
      <c r="F7" s="94"/>
      <c r="G7" s="94"/>
      <c r="H7" s="94"/>
      <c r="I7" s="94"/>
      <c r="J7" s="94"/>
      <c r="K7" s="94" t="s">
        <v>29</v>
      </c>
      <c r="L7" s="94"/>
      <c r="M7" s="94"/>
      <c r="N7" s="94"/>
      <c r="O7" s="94"/>
      <c r="P7" s="99" t="s">
        <v>30</v>
      </c>
      <c r="Q7" s="99"/>
      <c r="R7" s="99"/>
      <c r="S7" s="99"/>
      <c r="T7" s="99"/>
      <c r="U7" s="99"/>
      <c r="V7" s="99"/>
      <c r="W7" s="99" t="s">
        <v>31</v>
      </c>
      <c r="X7" s="100"/>
      <c r="Y7" s="100"/>
      <c r="Z7" s="100"/>
      <c r="AA7" s="93" t="s">
        <v>32</v>
      </c>
      <c r="AB7" s="93"/>
      <c r="AC7" s="93"/>
      <c r="AD7" s="93"/>
      <c r="AE7" s="99" t="s">
        <v>33</v>
      </c>
      <c r="AF7" s="99"/>
      <c r="AG7" s="99"/>
      <c r="AH7" s="99"/>
      <c r="AI7" s="94" t="s">
        <v>34</v>
      </c>
      <c r="AJ7" s="94"/>
      <c r="AK7" s="94"/>
      <c r="AL7" s="94"/>
      <c r="AM7" s="94" t="s">
        <v>35</v>
      </c>
      <c r="AN7" s="94"/>
      <c r="AO7" s="94"/>
      <c r="AP7" s="106" t="s">
        <v>36</v>
      </c>
      <c r="AQ7" s="106"/>
      <c r="AR7" s="106"/>
      <c r="AS7" s="106"/>
      <c r="AT7" s="106"/>
      <c r="AU7" s="106" t="s">
        <v>37</v>
      </c>
      <c r="AV7" s="106"/>
      <c r="AW7" s="106"/>
      <c r="AX7" s="106"/>
      <c r="AY7" s="106"/>
      <c r="AZ7" s="106" t="s">
        <v>38</v>
      </c>
      <c r="BA7" s="106"/>
      <c r="BB7" s="106"/>
      <c r="BC7" s="106"/>
      <c r="BD7" s="106"/>
      <c r="BE7" s="106"/>
      <c r="BF7" s="106" t="s">
        <v>39</v>
      </c>
      <c r="BG7" s="107"/>
      <c r="BH7" s="107"/>
      <c r="BI7" s="106" t="s">
        <v>40</v>
      </c>
      <c r="BJ7" s="106"/>
      <c r="BK7" s="106"/>
      <c r="BL7" s="106"/>
      <c r="BM7" s="93" t="s">
        <v>41</v>
      </c>
      <c r="BN7" s="93"/>
      <c r="BO7" s="93"/>
      <c r="BP7" s="93"/>
      <c r="BQ7" s="104" t="s">
        <v>42</v>
      </c>
      <c r="BR7" s="104"/>
      <c r="BS7" s="104"/>
      <c r="BT7" s="104"/>
      <c r="BU7" s="104"/>
      <c r="BV7" s="104" t="s">
        <v>43</v>
      </c>
      <c r="BW7" s="104"/>
      <c r="BX7" s="104"/>
      <c r="BY7" s="114" t="s">
        <v>44</v>
      </c>
      <c r="BZ7" s="115"/>
      <c r="CA7" s="115"/>
      <c r="CB7" s="115"/>
      <c r="CC7" s="115"/>
      <c r="CD7" s="115"/>
      <c r="CE7" s="115"/>
      <c r="CF7" s="115"/>
      <c r="CG7" s="115"/>
      <c r="CH7" s="115"/>
      <c r="CI7" s="115"/>
      <c r="CJ7" s="115"/>
      <c r="CK7" s="115"/>
      <c r="CL7" s="49"/>
      <c r="CM7" s="56"/>
      <c r="CN7" s="57"/>
      <c r="CO7" s="57"/>
      <c r="CP7" s="57"/>
      <c r="CQ7" s="57"/>
      <c r="CR7" s="57"/>
      <c r="CS7" s="57"/>
      <c r="CT7" s="112" t="s">
        <v>45</v>
      </c>
      <c r="CU7" s="112"/>
      <c r="CV7" s="112"/>
      <c r="CW7" s="112"/>
      <c r="CX7" s="57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</row>
    <row r="8" spans="1:121" x14ac:dyDescent="0.25">
      <c r="A8" s="48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102"/>
      <c r="Q8" s="102"/>
      <c r="R8" s="102"/>
      <c r="S8" s="102"/>
      <c r="T8" s="102"/>
      <c r="U8" s="102"/>
      <c r="V8" s="102"/>
      <c r="W8" s="101"/>
      <c r="X8" s="101"/>
      <c r="Y8" s="101"/>
      <c r="Z8" s="101"/>
      <c r="AA8" s="103"/>
      <c r="AB8" s="103"/>
      <c r="AC8" s="103"/>
      <c r="AD8" s="103"/>
      <c r="AE8" s="102"/>
      <c r="AF8" s="102"/>
      <c r="AG8" s="102"/>
      <c r="AH8" s="102"/>
      <c r="AI8" s="95"/>
      <c r="AJ8" s="95"/>
      <c r="AK8" s="95"/>
      <c r="AL8" s="95"/>
      <c r="AM8" s="95"/>
      <c r="AN8" s="95"/>
      <c r="AO8" s="95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06"/>
      <c r="BA8" s="106"/>
      <c r="BB8" s="106"/>
      <c r="BC8" s="106"/>
      <c r="BD8" s="106"/>
      <c r="BE8" s="106"/>
      <c r="BF8" s="108"/>
      <c r="BG8" s="108"/>
      <c r="BH8" s="108"/>
      <c r="BI8" s="113"/>
      <c r="BJ8" s="113"/>
      <c r="BK8" s="113"/>
      <c r="BL8" s="113"/>
      <c r="BM8" s="103"/>
      <c r="BN8" s="103"/>
      <c r="BO8" s="103"/>
      <c r="BP8" s="103"/>
      <c r="BQ8" s="104"/>
      <c r="BR8" s="104"/>
      <c r="BS8" s="104"/>
      <c r="BT8" s="104"/>
      <c r="BU8" s="104"/>
      <c r="BV8" s="105"/>
      <c r="BW8" s="105"/>
      <c r="BX8" s="105"/>
      <c r="BY8" s="114"/>
      <c r="BZ8" s="115"/>
      <c r="CA8" s="115"/>
      <c r="CB8" s="115"/>
      <c r="CC8" s="115"/>
      <c r="CD8" s="115"/>
      <c r="CE8" s="115"/>
      <c r="CF8" s="115"/>
      <c r="CG8" s="115"/>
      <c r="CH8" s="115"/>
      <c r="CI8" s="115"/>
      <c r="CJ8" s="115"/>
      <c r="CK8" s="115"/>
      <c r="CL8" s="49"/>
      <c r="CM8" s="59" t="s">
        <v>46</v>
      </c>
      <c r="CN8" s="59" t="s">
        <v>47</v>
      </c>
      <c r="CO8" s="56" t="s">
        <v>48</v>
      </c>
      <c r="CP8" s="59" t="s">
        <v>49</v>
      </c>
      <c r="CQ8" s="59" t="s">
        <v>50</v>
      </c>
      <c r="CR8" s="56"/>
      <c r="CS8" s="56"/>
      <c r="CT8" s="59" t="s">
        <v>51</v>
      </c>
      <c r="CU8" s="59"/>
      <c r="CV8" s="59" t="s">
        <v>52</v>
      </c>
      <c r="CW8" s="56"/>
      <c r="CX8" s="56"/>
      <c r="CY8" s="60"/>
      <c r="CZ8" s="60" t="s">
        <v>53</v>
      </c>
      <c r="DA8" s="60"/>
      <c r="DB8" s="60"/>
      <c r="DC8" s="60"/>
      <c r="DD8" s="58"/>
      <c r="DE8" s="58"/>
      <c r="DF8" s="58"/>
      <c r="DG8" s="58"/>
      <c r="DH8" s="58"/>
      <c r="DI8" s="58"/>
      <c r="DJ8" s="58"/>
      <c r="DK8" s="58"/>
      <c r="DL8" s="58"/>
      <c r="DM8" s="58"/>
    </row>
    <row r="9" spans="1:121" s="3" customFormat="1" ht="114" customHeight="1" x14ac:dyDescent="0.25">
      <c r="A9" s="69" t="s">
        <v>46</v>
      </c>
      <c r="B9" s="78" t="s">
        <v>54</v>
      </c>
      <c r="C9" s="78"/>
      <c r="D9" s="78"/>
      <c r="E9" s="78"/>
      <c r="F9" s="78"/>
      <c r="G9" s="78"/>
      <c r="H9" s="78"/>
      <c r="I9" s="78"/>
      <c r="J9" s="78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78"/>
      <c r="AB9" s="78"/>
      <c r="AC9" s="78"/>
      <c r="AD9" s="78"/>
      <c r="AE9" s="73"/>
      <c r="AF9" s="73"/>
      <c r="AG9" s="73"/>
      <c r="AH9" s="73"/>
      <c r="AI9" s="78"/>
      <c r="AJ9" s="78"/>
      <c r="AK9" s="78"/>
      <c r="AL9" s="78"/>
      <c r="AM9" s="79" t="str">
        <f t="shared" ref="AM9:AM19" si="0">IF(P9="","",AI9/$BA$4)</f>
        <v/>
      </c>
      <c r="AN9" s="79"/>
      <c r="AO9" s="79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1" t="str">
        <f t="shared" ref="BF9:BF19" si="1">IF(AI9="","",CY9)</f>
        <v/>
      </c>
      <c r="BG9" s="82"/>
      <c r="BH9" s="83"/>
      <c r="BI9" s="85" t="str">
        <f>IF(P9="","",VLOOKUP(BF9,Planilha3!$F$3:$G$18,2,0))</f>
        <v/>
      </c>
      <c r="BJ9" s="85"/>
      <c r="BK9" s="85"/>
      <c r="BL9" s="85"/>
      <c r="BM9" s="86"/>
      <c r="BN9" s="86"/>
      <c r="BO9" s="86"/>
      <c r="BP9" s="86"/>
      <c r="BQ9" s="84" t="str">
        <f>LANÇAMENTOS!K4</f>
        <v>-</v>
      </c>
      <c r="BR9" s="84"/>
      <c r="BS9" s="84"/>
      <c r="BT9" s="84"/>
      <c r="BU9" s="84"/>
      <c r="BV9" s="77" t="str">
        <f>IF(P9="","",LANÇAMENTOS!N4)</f>
        <v/>
      </c>
      <c r="BW9" s="77"/>
      <c r="BX9" s="77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49"/>
      <c r="CM9" s="61" t="str">
        <f t="shared" ref="CM9" si="2">AM9</f>
        <v/>
      </c>
      <c r="CN9" s="62">
        <f>IF($CM$9&gt;0.5,4,IF($CM$9&gt;0.25,3,IF($CM$9&gt;0.05,2,1)))</f>
        <v>4</v>
      </c>
      <c r="CO9" s="62" t="e">
        <f>VLOOKUP(AP9,Planilha2!$C$4:$D$7,2,0)</f>
        <v>#N/A</v>
      </c>
      <c r="CP9" s="62" t="e">
        <f>CN9*CO9</f>
        <v>#N/A</v>
      </c>
      <c r="CQ9" s="62" t="str">
        <f>IFERROR(VLOOKUP(CP9,Planilha3!$F$3:$H$18,3,0),"")</f>
        <v/>
      </c>
      <c r="CR9" s="62"/>
      <c r="CS9" s="62"/>
      <c r="CT9" s="62" t="e">
        <f>VLOOKUP(AU9,Planilha2!$C$10:$D$13,2,0)</f>
        <v>#N/A</v>
      </c>
      <c r="CU9" s="62"/>
      <c r="CV9" s="62" t="e">
        <f>VLOOKUP(AZ9,Planilha2!$E$4:$F$7,2,0)</f>
        <v>#N/A</v>
      </c>
      <c r="CW9" s="62" t="e">
        <f>CT9*CV9</f>
        <v>#N/A</v>
      </c>
      <c r="CX9" s="62" t="e">
        <f>VLOOKUP(CW9,Planilha3!$F$3:$H$18,3,0)</f>
        <v>#N/A</v>
      </c>
      <c r="CY9" s="63" t="e">
        <f>CO9*CX9</f>
        <v>#N/A</v>
      </c>
      <c r="CZ9" s="63" t="e">
        <f>VLOOKUP(CY9,Planilha3!$F$3:$H$18,3,0)</f>
        <v>#N/A</v>
      </c>
      <c r="DA9" s="63"/>
      <c r="DB9" s="63"/>
      <c r="DC9" s="60"/>
      <c r="DD9" s="60"/>
      <c r="DE9" s="60"/>
      <c r="DF9" s="60"/>
      <c r="DG9" s="60"/>
      <c r="DH9" s="60"/>
      <c r="DI9" s="60"/>
      <c r="DJ9" s="60"/>
      <c r="DK9" s="60"/>
      <c r="DL9" s="60"/>
      <c r="DM9" s="60"/>
    </row>
    <row r="10" spans="1:121" ht="114" customHeight="1" x14ac:dyDescent="0.25">
      <c r="A10" s="69" t="s">
        <v>60</v>
      </c>
      <c r="B10" s="78" t="s">
        <v>54</v>
      </c>
      <c r="C10" s="78"/>
      <c r="D10" s="78"/>
      <c r="E10" s="78"/>
      <c r="F10" s="78"/>
      <c r="G10" s="78"/>
      <c r="H10" s="78"/>
      <c r="I10" s="78"/>
      <c r="J10" s="78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78"/>
      <c r="AB10" s="78"/>
      <c r="AC10" s="78"/>
      <c r="AD10" s="78"/>
      <c r="AE10" s="73"/>
      <c r="AF10" s="73"/>
      <c r="AG10" s="73"/>
      <c r="AH10" s="73"/>
      <c r="AI10" s="78"/>
      <c r="AJ10" s="78"/>
      <c r="AK10" s="78"/>
      <c r="AL10" s="78"/>
      <c r="AM10" s="79" t="str">
        <f t="shared" si="0"/>
        <v/>
      </c>
      <c r="AN10" s="79"/>
      <c r="AO10" s="79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1" t="str">
        <f t="shared" ref="BF10" si="3">IF(AI10="","",CY10)</f>
        <v/>
      </c>
      <c r="BG10" s="82"/>
      <c r="BH10" s="83"/>
      <c r="BI10" s="85" t="str">
        <f>IF(P10="","",VLOOKUP(BF10,Planilha3!$F$3:$G$18,2,0))</f>
        <v/>
      </c>
      <c r="BJ10" s="85"/>
      <c r="BK10" s="85"/>
      <c r="BL10" s="85"/>
      <c r="BM10" s="86"/>
      <c r="BN10" s="86"/>
      <c r="BO10" s="86"/>
      <c r="BP10" s="86"/>
      <c r="BQ10" s="84" t="str">
        <f>LANÇAMENTOS!K5</f>
        <v>-</v>
      </c>
      <c r="BR10" s="84"/>
      <c r="BS10" s="84"/>
      <c r="BT10" s="84"/>
      <c r="BU10" s="84"/>
      <c r="BV10" s="77" t="str">
        <f>IF(P10="","",LANÇAMENTOS!N5)</f>
        <v/>
      </c>
      <c r="BW10" s="77"/>
      <c r="BX10" s="77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49"/>
      <c r="CM10" s="61" t="str">
        <f t="shared" ref="CM10:CM26" si="4">AM10</f>
        <v/>
      </c>
      <c r="CN10" s="62">
        <f t="shared" ref="CN10:CN26" si="5">IF($CM$9&gt;0.5,4,IF($CM$9&gt;0.25,3,IF($CM$9&gt;0.05,2,1)))</f>
        <v>4</v>
      </c>
      <c r="CO10" s="62" t="e">
        <f>VLOOKUP(AP10,Planilha2!$C$4:$D$7,2,0)</f>
        <v>#N/A</v>
      </c>
      <c r="CP10" s="62" t="e">
        <f t="shared" ref="CP10:CP26" si="6">CN10*CO10</f>
        <v>#N/A</v>
      </c>
      <c r="CQ10" s="62" t="str">
        <f>IFERROR(VLOOKUP(CP10,Planilha3!$F$3:$H$18,3,0),"")</f>
        <v/>
      </c>
      <c r="CR10" s="62"/>
      <c r="CS10" s="62"/>
      <c r="CT10" s="62" t="e">
        <f>VLOOKUP(AU10,Planilha2!$C$10:$D$13,2,0)</f>
        <v>#N/A</v>
      </c>
      <c r="CU10" s="62"/>
      <c r="CV10" s="62" t="e">
        <f>VLOOKUP(AZ10,Planilha2!$E$4:$F$7,2,0)</f>
        <v>#N/A</v>
      </c>
      <c r="CW10" s="62" t="e">
        <f t="shared" ref="CW10:CW26" si="7">CT10*CV10</f>
        <v>#N/A</v>
      </c>
      <c r="CX10" s="62" t="e">
        <f>VLOOKUP(CW10,Planilha3!$F$3:$H$18,3,0)</f>
        <v>#N/A</v>
      </c>
      <c r="CY10" s="63" t="e">
        <f t="shared" ref="CY10:CY26" si="8">CO10*CX10</f>
        <v>#N/A</v>
      </c>
      <c r="CZ10" s="63" t="e">
        <f>VLOOKUP(CY10,Planilha3!$F$3:$H$18,3,0)</f>
        <v>#N/A</v>
      </c>
      <c r="DA10" s="60"/>
      <c r="DB10" s="60"/>
      <c r="DC10" s="60"/>
      <c r="DD10" s="60"/>
      <c r="DE10" s="58"/>
      <c r="DF10" s="58"/>
      <c r="DG10" s="58"/>
      <c r="DH10" s="58"/>
      <c r="DI10" s="58"/>
      <c r="DJ10" s="58"/>
      <c r="DK10" s="58"/>
      <c r="DL10" s="58"/>
      <c r="DM10" s="58"/>
    </row>
    <row r="11" spans="1:121" ht="114" customHeight="1" x14ac:dyDescent="0.25">
      <c r="A11" s="69" t="s">
        <v>52</v>
      </c>
      <c r="B11" s="78" t="s">
        <v>54</v>
      </c>
      <c r="C11" s="78"/>
      <c r="D11" s="78"/>
      <c r="E11" s="78"/>
      <c r="F11" s="78"/>
      <c r="G11" s="78"/>
      <c r="H11" s="78"/>
      <c r="I11" s="78"/>
      <c r="J11" s="78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78"/>
      <c r="AB11" s="78"/>
      <c r="AC11" s="78"/>
      <c r="AD11" s="78"/>
      <c r="AE11" s="73"/>
      <c r="AF11" s="73"/>
      <c r="AG11" s="73"/>
      <c r="AH11" s="73"/>
      <c r="AI11" s="78"/>
      <c r="AJ11" s="78"/>
      <c r="AK11" s="78"/>
      <c r="AL11" s="78"/>
      <c r="AM11" s="79" t="str">
        <f t="shared" si="0"/>
        <v/>
      </c>
      <c r="AN11" s="79"/>
      <c r="AO11" s="79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1" t="str">
        <f t="shared" si="1"/>
        <v/>
      </c>
      <c r="BG11" s="82"/>
      <c r="BH11" s="83"/>
      <c r="BI11" s="85" t="str">
        <f>IF(P11="","",VLOOKUP(BF11,Planilha3!$F$3:$G$18,2,0))</f>
        <v/>
      </c>
      <c r="BJ11" s="85"/>
      <c r="BK11" s="85"/>
      <c r="BL11" s="85"/>
      <c r="BM11" s="86"/>
      <c r="BN11" s="86"/>
      <c r="BO11" s="86"/>
      <c r="BP11" s="86"/>
      <c r="BQ11" s="84" t="str">
        <f>LANÇAMENTOS!K6</f>
        <v>-</v>
      </c>
      <c r="BR11" s="84"/>
      <c r="BS11" s="84"/>
      <c r="BT11" s="84"/>
      <c r="BU11" s="84"/>
      <c r="BV11" s="77" t="str">
        <f>IF(P11="","",LANÇAMENTOS!N6)</f>
        <v/>
      </c>
      <c r="BW11" s="77"/>
      <c r="BX11" s="77"/>
      <c r="BY11" s="73"/>
      <c r="BZ11" s="73"/>
      <c r="CA11" s="73"/>
      <c r="CB11" s="73"/>
      <c r="CC11" s="73"/>
      <c r="CD11" s="73"/>
      <c r="CE11" s="73"/>
      <c r="CF11" s="73"/>
      <c r="CG11" s="73"/>
      <c r="CH11" s="73"/>
      <c r="CI11" s="73"/>
      <c r="CJ11" s="73"/>
      <c r="CK11" s="73"/>
      <c r="CL11" s="49"/>
      <c r="CM11" s="61" t="str">
        <f t="shared" si="4"/>
        <v/>
      </c>
      <c r="CN11" s="62">
        <f t="shared" si="5"/>
        <v>4</v>
      </c>
      <c r="CO11" s="62" t="e">
        <f>VLOOKUP(AP11,Planilha2!$C$4:$D$7,2,0)</f>
        <v>#N/A</v>
      </c>
      <c r="CP11" s="62" t="e">
        <f t="shared" si="6"/>
        <v>#N/A</v>
      </c>
      <c r="CQ11" s="62" t="str">
        <f>IFERROR(VLOOKUP(CP11,Planilha3!$F$3:$H$18,3,0),"")</f>
        <v/>
      </c>
      <c r="CR11" s="62"/>
      <c r="CS11" s="62"/>
      <c r="CT11" s="62" t="e">
        <f>VLOOKUP(AU11,Planilha2!$C$10:$D$13,2,0)</f>
        <v>#N/A</v>
      </c>
      <c r="CU11" s="62"/>
      <c r="CV11" s="62" t="e">
        <f>VLOOKUP(AZ11,Planilha2!$E$4:$F$7,2,0)</f>
        <v>#N/A</v>
      </c>
      <c r="CW11" s="62" t="e">
        <f t="shared" si="7"/>
        <v>#N/A</v>
      </c>
      <c r="CX11" s="62" t="e">
        <f>VLOOKUP(CW11,Planilha3!$F$3:$H$18,3,0)</f>
        <v>#N/A</v>
      </c>
      <c r="CY11" s="63" t="e">
        <f t="shared" si="8"/>
        <v>#N/A</v>
      </c>
      <c r="CZ11" s="63" t="e">
        <f>VLOOKUP(CY11,Planilha3!$F$3:$H$18,3,0)</f>
        <v>#N/A</v>
      </c>
      <c r="DA11" s="60"/>
      <c r="DB11" s="60"/>
      <c r="DC11" s="60"/>
      <c r="DD11" s="60"/>
      <c r="DE11" s="58"/>
      <c r="DF11" s="58"/>
      <c r="DG11" s="58"/>
      <c r="DH11" s="58"/>
      <c r="DI11" s="58"/>
      <c r="DJ11" s="58"/>
      <c r="DK11" s="58"/>
      <c r="DL11" s="58"/>
      <c r="DM11" s="58"/>
    </row>
    <row r="12" spans="1:121" ht="114" customHeight="1" x14ac:dyDescent="0.25">
      <c r="A12" s="69" t="s">
        <v>66</v>
      </c>
      <c r="B12" s="78" t="s">
        <v>54</v>
      </c>
      <c r="C12" s="78"/>
      <c r="D12" s="78"/>
      <c r="E12" s="78"/>
      <c r="F12" s="78"/>
      <c r="G12" s="78"/>
      <c r="H12" s="78"/>
      <c r="I12" s="78"/>
      <c r="J12" s="78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78"/>
      <c r="AB12" s="78"/>
      <c r="AC12" s="78"/>
      <c r="AD12" s="78"/>
      <c r="AE12" s="73"/>
      <c r="AF12" s="73"/>
      <c r="AG12" s="73"/>
      <c r="AH12" s="73"/>
      <c r="AI12" s="78"/>
      <c r="AJ12" s="78"/>
      <c r="AK12" s="78"/>
      <c r="AL12" s="78"/>
      <c r="AM12" s="79" t="str">
        <f t="shared" si="0"/>
        <v/>
      </c>
      <c r="AN12" s="79"/>
      <c r="AO12" s="79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1" t="str">
        <f t="shared" si="1"/>
        <v/>
      </c>
      <c r="BG12" s="82"/>
      <c r="BH12" s="83"/>
      <c r="BI12" s="85" t="str">
        <f>IF(P12="","",VLOOKUP(BF12,Planilha3!$F$3:$G$18,2,0))</f>
        <v/>
      </c>
      <c r="BJ12" s="85"/>
      <c r="BK12" s="85"/>
      <c r="BL12" s="85"/>
      <c r="BM12" s="86"/>
      <c r="BN12" s="86"/>
      <c r="BO12" s="86"/>
      <c r="BP12" s="86"/>
      <c r="BQ12" s="84" t="str">
        <f>LANÇAMENTOS!K7</f>
        <v>-</v>
      </c>
      <c r="BR12" s="84"/>
      <c r="BS12" s="84"/>
      <c r="BT12" s="84"/>
      <c r="BU12" s="84"/>
      <c r="BV12" s="77" t="str">
        <f>IF(P12="","",LANÇAMENTOS!N7)</f>
        <v/>
      </c>
      <c r="BW12" s="77"/>
      <c r="BX12" s="77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49"/>
      <c r="CM12" s="61" t="str">
        <f t="shared" si="4"/>
        <v/>
      </c>
      <c r="CN12" s="62">
        <f t="shared" si="5"/>
        <v>4</v>
      </c>
      <c r="CO12" s="62" t="e">
        <f>VLOOKUP(AP12,Planilha2!$C$4:$D$7,2,0)</f>
        <v>#N/A</v>
      </c>
      <c r="CP12" s="62" t="e">
        <f t="shared" si="6"/>
        <v>#N/A</v>
      </c>
      <c r="CQ12" s="62" t="str">
        <f>IFERROR(VLOOKUP(CP12,Planilha3!$F$3:$H$18,3,0),"")</f>
        <v/>
      </c>
      <c r="CR12" s="62"/>
      <c r="CS12" s="62"/>
      <c r="CT12" s="62" t="e">
        <f>VLOOKUP(AU12,Planilha2!$C$10:$D$13,2,0)</f>
        <v>#N/A</v>
      </c>
      <c r="CU12" s="62"/>
      <c r="CV12" s="62" t="e">
        <f>VLOOKUP(AZ12,Planilha2!$E$4:$F$7,2,0)</f>
        <v>#N/A</v>
      </c>
      <c r="CW12" s="62" t="e">
        <f t="shared" si="7"/>
        <v>#N/A</v>
      </c>
      <c r="CX12" s="62" t="e">
        <f>VLOOKUP(CW12,Planilha3!$F$3:$H$18,3,0)</f>
        <v>#N/A</v>
      </c>
      <c r="CY12" s="63" t="e">
        <f t="shared" si="8"/>
        <v>#N/A</v>
      </c>
      <c r="CZ12" s="63" t="e">
        <f>VLOOKUP(CY12,Planilha3!$F$3:$H$18,3,0)</f>
        <v>#N/A</v>
      </c>
      <c r="DA12" s="60"/>
      <c r="DB12" s="60"/>
      <c r="DC12" s="60"/>
      <c r="DD12" s="60"/>
      <c r="DE12" s="58"/>
      <c r="DF12" s="58"/>
      <c r="DG12" s="58"/>
      <c r="DH12" s="58"/>
      <c r="DI12" s="58"/>
      <c r="DJ12" s="58"/>
      <c r="DK12" s="58"/>
      <c r="DL12" s="58"/>
      <c r="DM12" s="58"/>
    </row>
    <row r="13" spans="1:121" ht="114" customHeight="1" x14ac:dyDescent="0.25">
      <c r="A13" s="69" t="s">
        <v>48</v>
      </c>
      <c r="B13" s="78" t="s">
        <v>54</v>
      </c>
      <c r="C13" s="78"/>
      <c r="D13" s="78"/>
      <c r="E13" s="78"/>
      <c r="F13" s="78"/>
      <c r="G13" s="78"/>
      <c r="H13" s="78"/>
      <c r="I13" s="78"/>
      <c r="J13" s="78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78"/>
      <c r="AB13" s="78"/>
      <c r="AC13" s="78"/>
      <c r="AD13" s="78"/>
      <c r="AE13" s="73"/>
      <c r="AF13" s="73"/>
      <c r="AG13" s="73"/>
      <c r="AH13" s="73"/>
      <c r="AI13" s="78"/>
      <c r="AJ13" s="78"/>
      <c r="AK13" s="78"/>
      <c r="AL13" s="78"/>
      <c r="AM13" s="79" t="str">
        <f t="shared" si="0"/>
        <v/>
      </c>
      <c r="AN13" s="79"/>
      <c r="AO13" s="79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1" t="str">
        <f t="shared" si="1"/>
        <v/>
      </c>
      <c r="BG13" s="82"/>
      <c r="BH13" s="83"/>
      <c r="BI13" s="85" t="str">
        <f>IF(P13="","",VLOOKUP(BF13,Planilha3!$F$3:$G$18,2,0))</f>
        <v/>
      </c>
      <c r="BJ13" s="85"/>
      <c r="BK13" s="85"/>
      <c r="BL13" s="85"/>
      <c r="BM13" s="86"/>
      <c r="BN13" s="86"/>
      <c r="BO13" s="86"/>
      <c r="BP13" s="86"/>
      <c r="BQ13" s="84" t="str">
        <f>LANÇAMENTOS!K8</f>
        <v>-</v>
      </c>
      <c r="BR13" s="84"/>
      <c r="BS13" s="84"/>
      <c r="BT13" s="84"/>
      <c r="BU13" s="84"/>
      <c r="BV13" s="77" t="str">
        <f>IF(P13="","",LANÇAMENTOS!N8)</f>
        <v/>
      </c>
      <c r="BW13" s="77"/>
      <c r="BX13" s="77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49"/>
      <c r="CM13" s="61" t="str">
        <f t="shared" si="4"/>
        <v/>
      </c>
      <c r="CN13" s="62">
        <f t="shared" si="5"/>
        <v>4</v>
      </c>
      <c r="CO13" s="62" t="e">
        <f>VLOOKUP(AP13,Planilha2!$C$4:$D$7,2,0)</f>
        <v>#N/A</v>
      </c>
      <c r="CP13" s="62" t="e">
        <f t="shared" si="6"/>
        <v>#N/A</v>
      </c>
      <c r="CQ13" s="62" t="str">
        <f>IFERROR(VLOOKUP(CP13,Planilha3!$F$3:$H$18,3,0),"")</f>
        <v/>
      </c>
      <c r="CR13" s="62"/>
      <c r="CS13" s="62"/>
      <c r="CT13" s="62" t="e">
        <f>VLOOKUP(AU13,Planilha2!$C$10:$D$13,2,0)</f>
        <v>#N/A</v>
      </c>
      <c r="CU13" s="62"/>
      <c r="CV13" s="62" t="e">
        <f>VLOOKUP(AZ13,Planilha2!$E$4:$F$7,2,0)</f>
        <v>#N/A</v>
      </c>
      <c r="CW13" s="62" t="e">
        <f t="shared" si="7"/>
        <v>#N/A</v>
      </c>
      <c r="CX13" s="62" t="e">
        <f>VLOOKUP(CW13,Planilha3!$F$3:$H$18,3,0)</f>
        <v>#N/A</v>
      </c>
      <c r="CY13" s="63" t="e">
        <f t="shared" si="8"/>
        <v>#N/A</v>
      </c>
      <c r="CZ13" s="63" t="e">
        <f>VLOOKUP(CY13,Planilha3!$F$3:$H$18,3,0)</f>
        <v>#N/A</v>
      </c>
      <c r="DA13" s="60"/>
      <c r="DB13" s="60"/>
      <c r="DC13" s="60"/>
      <c r="DD13" s="60"/>
      <c r="DE13" s="58"/>
      <c r="DF13" s="58"/>
      <c r="DG13" s="58"/>
      <c r="DH13" s="58"/>
      <c r="DI13" s="58"/>
      <c r="DJ13" s="58"/>
      <c r="DK13" s="58"/>
      <c r="DL13" s="58"/>
      <c r="DM13" s="58"/>
    </row>
    <row r="14" spans="1:121" ht="114" customHeight="1" x14ac:dyDescent="0.25">
      <c r="A14" s="69" t="s">
        <v>71</v>
      </c>
      <c r="B14" s="78" t="s">
        <v>54</v>
      </c>
      <c r="C14" s="78"/>
      <c r="D14" s="78"/>
      <c r="E14" s="78"/>
      <c r="F14" s="78"/>
      <c r="G14" s="78"/>
      <c r="H14" s="78"/>
      <c r="I14" s="78"/>
      <c r="J14" s="78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78"/>
      <c r="AB14" s="78"/>
      <c r="AC14" s="78"/>
      <c r="AD14" s="78"/>
      <c r="AE14" s="73"/>
      <c r="AF14" s="73"/>
      <c r="AG14" s="73"/>
      <c r="AH14" s="73"/>
      <c r="AI14" s="78"/>
      <c r="AJ14" s="78"/>
      <c r="AK14" s="78"/>
      <c r="AL14" s="78"/>
      <c r="AM14" s="79" t="str">
        <f t="shared" si="0"/>
        <v/>
      </c>
      <c r="AN14" s="79"/>
      <c r="AO14" s="79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1" t="str">
        <f t="shared" si="1"/>
        <v/>
      </c>
      <c r="BG14" s="82"/>
      <c r="BH14" s="83"/>
      <c r="BI14" s="85" t="str">
        <f>IF(P14="","",VLOOKUP(BF14,Planilha3!$F$3:$G$18,2,0))</f>
        <v/>
      </c>
      <c r="BJ14" s="85"/>
      <c r="BK14" s="85"/>
      <c r="BL14" s="85"/>
      <c r="BM14" s="86"/>
      <c r="BN14" s="86"/>
      <c r="BO14" s="86"/>
      <c r="BP14" s="86"/>
      <c r="BQ14" s="84" t="str">
        <f>LANÇAMENTOS!K9</f>
        <v>-</v>
      </c>
      <c r="BR14" s="84"/>
      <c r="BS14" s="84"/>
      <c r="BT14" s="84"/>
      <c r="BU14" s="84"/>
      <c r="BV14" s="77" t="str">
        <f>IF(P14="","",LANÇAMENTOS!N9)</f>
        <v/>
      </c>
      <c r="BW14" s="77"/>
      <c r="BX14" s="77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49"/>
      <c r="CM14" s="61" t="str">
        <f t="shared" si="4"/>
        <v/>
      </c>
      <c r="CN14" s="62">
        <f t="shared" si="5"/>
        <v>4</v>
      </c>
      <c r="CO14" s="62" t="e">
        <f>VLOOKUP(AP14,Planilha2!$C$4:$D$7,2,0)</f>
        <v>#N/A</v>
      </c>
      <c r="CP14" s="62" t="e">
        <f t="shared" si="6"/>
        <v>#N/A</v>
      </c>
      <c r="CQ14" s="62" t="str">
        <f>IFERROR(VLOOKUP(CP14,Planilha3!$F$3:$H$18,3,0),"")</f>
        <v/>
      </c>
      <c r="CR14" s="62"/>
      <c r="CS14" s="62"/>
      <c r="CT14" s="62" t="e">
        <f>VLOOKUP(AU14,Planilha2!$C$10:$D$13,2,0)</f>
        <v>#N/A</v>
      </c>
      <c r="CU14" s="62"/>
      <c r="CV14" s="62" t="e">
        <f>VLOOKUP(AZ14,Planilha2!$E$4:$F$7,2,0)</f>
        <v>#N/A</v>
      </c>
      <c r="CW14" s="62" t="e">
        <f t="shared" si="7"/>
        <v>#N/A</v>
      </c>
      <c r="CX14" s="62" t="e">
        <f>VLOOKUP(CW14,Planilha3!$F$3:$H$18,3,0)</f>
        <v>#N/A</v>
      </c>
      <c r="CY14" s="63" t="e">
        <f t="shared" si="8"/>
        <v>#N/A</v>
      </c>
      <c r="CZ14" s="63" t="e">
        <f>VLOOKUP(CY14,Planilha3!$F$3:$H$18,3,0)</f>
        <v>#N/A</v>
      </c>
      <c r="DA14" s="58"/>
      <c r="DB14" s="58"/>
      <c r="DC14" s="58"/>
      <c r="DD14" s="58"/>
      <c r="DE14" s="58"/>
      <c r="DF14" s="58"/>
      <c r="DG14" s="58"/>
      <c r="DH14" s="58"/>
      <c r="DI14" s="58"/>
      <c r="DJ14" s="58"/>
      <c r="DK14" s="58"/>
      <c r="DL14" s="58"/>
      <c r="DM14" s="58"/>
    </row>
    <row r="15" spans="1:121" ht="114" customHeight="1" x14ac:dyDescent="0.25">
      <c r="A15" s="69" t="s">
        <v>51</v>
      </c>
      <c r="B15" s="78" t="s">
        <v>54</v>
      </c>
      <c r="C15" s="78"/>
      <c r="D15" s="78"/>
      <c r="E15" s="78"/>
      <c r="F15" s="78"/>
      <c r="G15" s="78"/>
      <c r="H15" s="78"/>
      <c r="I15" s="78"/>
      <c r="J15" s="78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78"/>
      <c r="AB15" s="78"/>
      <c r="AC15" s="78"/>
      <c r="AD15" s="78"/>
      <c r="AE15" s="73"/>
      <c r="AF15" s="73"/>
      <c r="AG15" s="73"/>
      <c r="AH15" s="73"/>
      <c r="AI15" s="78"/>
      <c r="AJ15" s="78"/>
      <c r="AK15" s="78"/>
      <c r="AL15" s="78"/>
      <c r="AM15" s="79" t="str">
        <f t="shared" si="0"/>
        <v/>
      </c>
      <c r="AN15" s="79"/>
      <c r="AO15" s="79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1" t="str">
        <f t="shared" si="1"/>
        <v/>
      </c>
      <c r="BG15" s="82"/>
      <c r="BH15" s="83"/>
      <c r="BI15" s="85" t="str">
        <f>IF(P15="","",VLOOKUP(BF15,Planilha3!$F$3:$G$18,2,0))</f>
        <v/>
      </c>
      <c r="BJ15" s="85"/>
      <c r="BK15" s="85"/>
      <c r="BL15" s="85"/>
      <c r="BM15" s="86"/>
      <c r="BN15" s="86"/>
      <c r="BO15" s="86"/>
      <c r="BP15" s="86"/>
      <c r="BQ15" s="84" t="str">
        <f>LANÇAMENTOS!K10</f>
        <v>-</v>
      </c>
      <c r="BR15" s="84"/>
      <c r="BS15" s="84"/>
      <c r="BT15" s="84"/>
      <c r="BU15" s="84"/>
      <c r="BV15" s="77" t="str">
        <f>IF(P15="","",LANÇAMENTOS!N10)</f>
        <v/>
      </c>
      <c r="BW15" s="77"/>
      <c r="BX15" s="77"/>
      <c r="BY15" s="74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6"/>
      <c r="CL15" s="49"/>
      <c r="CM15" s="61" t="str">
        <f t="shared" si="4"/>
        <v/>
      </c>
      <c r="CN15" s="62">
        <f t="shared" si="5"/>
        <v>4</v>
      </c>
      <c r="CO15" s="62" t="e">
        <f>VLOOKUP(AP15,Planilha2!$C$4:$D$7,2,0)</f>
        <v>#N/A</v>
      </c>
      <c r="CP15" s="62" t="e">
        <f t="shared" si="6"/>
        <v>#N/A</v>
      </c>
      <c r="CQ15" s="62" t="str">
        <f>IFERROR(VLOOKUP(CP15,Planilha3!$F$3:$H$18,3,0),"")</f>
        <v/>
      </c>
      <c r="CR15" s="62"/>
      <c r="CS15" s="62"/>
      <c r="CT15" s="62" t="e">
        <f>VLOOKUP(AU15,Planilha2!$C$10:$D$13,2,0)</f>
        <v>#N/A</v>
      </c>
      <c r="CU15" s="62"/>
      <c r="CV15" s="62" t="e">
        <f>VLOOKUP(AZ15,Planilha2!$E$4:$F$7,2,0)</f>
        <v>#N/A</v>
      </c>
      <c r="CW15" s="62" t="e">
        <f t="shared" si="7"/>
        <v>#N/A</v>
      </c>
      <c r="CX15" s="62" t="e">
        <f>VLOOKUP(CW15,Planilha3!$F$3:$H$18,3,0)</f>
        <v>#N/A</v>
      </c>
      <c r="CY15" s="63" t="e">
        <f t="shared" si="8"/>
        <v>#N/A</v>
      </c>
      <c r="CZ15" s="63" t="e">
        <f>VLOOKUP(CY15,Planilha3!$F$3:$H$18,3,0)</f>
        <v>#N/A</v>
      </c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</row>
    <row r="16" spans="1:121" ht="114" customHeight="1" x14ac:dyDescent="0.25">
      <c r="A16" s="69" t="s">
        <v>74</v>
      </c>
      <c r="B16" s="78" t="s">
        <v>54</v>
      </c>
      <c r="C16" s="78"/>
      <c r="D16" s="78"/>
      <c r="E16" s="78"/>
      <c r="F16" s="78"/>
      <c r="G16" s="78"/>
      <c r="H16" s="78"/>
      <c r="I16" s="78"/>
      <c r="J16" s="78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78"/>
      <c r="AB16" s="78"/>
      <c r="AC16" s="78"/>
      <c r="AD16" s="78"/>
      <c r="AE16" s="73"/>
      <c r="AF16" s="73"/>
      <c r="AG16" s="73"/>
      <c r="AH16" s="73"/>
      <c r="AI16" s="78"/>
      <c r="AJ16" s="78"/>
      <c r="AK16" s="78"/>
      <c r="AL16" s="78"/>
      <c r="AM16" s="79" t="str">
        <f t="shared" si="0"/>
        <v/>
      </c>
      <c r="AN16" s="79"/>
      <c r="AO16" s="79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1" t="str">
        <f t="shared" si="1"/>
        <v/>
      </c>
      <c r="BG16" s="82"/>
      <c r="BH16" s="83"/>
      <c r="BI16" s="85" t="str">
        <f>IF(P16="","",VLOOKUP(BF16,Planilha3!$F$3:$G$18,2,0))</f>
        <v/>
      </c>
      <c r="BJ16" s="85"/>
      <c r="BK16" s="85"/>
      <c r="BL16" s="85"/>
      <c r="BM16" s="86"/>
      <c r="BN16" s="86"/>
      <c r="BO16" s="86"/>
      <c r="BP16" s="86"/>
      <c r="BQ16" s="84" t="str">
        <f>LANÇAMENTOS!K11</f>
        <v>-</v>
      </c>
      <c r="BR16" s="84"/>
      <c r="BS16" s="84"/>
      <c r="BT16" s="84"/>
      <c r="BU16" s="84"/>
      <c r="BV16" s="77" t="str">
        <f>IF(P16="","",LANÇAMENTOS!N11)</f>
        <v/>
      </c>
      <c r="BW16" s="77"/>
      <c r="BX16" s="77"/>
      <c r="BY16" s="74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6"/>
      <c r="CL16" s="49"/>
      <c r="CM16" s="61" t="str">
        <f t="shared" si="4"/>
        <v/>
      </c>
      <c r="CN16" s="62">
        <f t="shared" si="5"/>
        <v>4</v>
      </c>
      <c r="CO16" s="62" t="e">
        <f>VLOOKUP(AP16,Planilha2!$C$4:$D$7,2,0)</f>
        <v>#N/A</v>
      </c>
      <c r="CP16" s="62" t="e">
        <f t="shared" si="6"/>
        <v>#N/A</v>
      </c>
      <c r="CQ16" s="62" t="str">
        <f>IFERROR(VLOOKUP(CP16,Planilha3!$F$3:$H$18,3,0),"")</f>
        <v/>
      </c>
      <c r="CR16" s="62"/>
      <c r="CS16" s="62"/>
      <c r="CT16" s="62" t="e">
        <f>VLOOKUP(AU16,Planilha2!$C$10:$D$13,2,0)</f>
        <v>#N/A</v>
      </c>
      <c r="CU16" s="62"/>
      <c r="CV16" s="62" t="e">
        <f>VLOOKUP(AZ16,Planilha2!$E$4:$F$7,2,0)</f>
        <v>#N/A</v>
      </c>
      <c r="CW16" s="62" t="e">
        <f t="shared" si="7"/>
        <v>#N/A</v>
      </c>
      <c r="CX16" s="62" t="e">
        <f>VLOOKUP(CW16,Planilha3!$F$3:$H$18,3,0)</f>
        <v>#N/A</v>
      </c>
      <c r="CY16" s="63" t="e">
        <f t="shared" si="8"/>
        <v>#N/A</v>
      </c>
      <c r="CZ16" s="63" t="e">
        <f>VLOOKUP(CY16,Planilha3!$F$3:$H$18,3,0)</f>
        <v>#N/A</v>
      </c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</row>
    <row r="17" spans="1:122" ht="114" customHeight="1" x14ac:dyDescent="0.25">
      <c r="A17" s="69" t="s">
        <v>77</v>
      </c>
      <c r="B17" s="78" t="s">
        <v>54</v>
      </c>
      <c r="C17" s="78"/>
      <c r="D17" s="78"/>
      <c r="E17" s="78"/>
      <c r="F17" s="78"/>
      <c r="G17" s="78"/>
      <c r="H17" s="78"/>
      <c r="I17" s="78"/>
      <c r="J17" s="78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78"/>
      <c r="AB17" s="78"/>
      <c r="AC17" s="78"/>
      <c r="AD17" s="78"/>
      <c r="AE17" s="73"/>
      <c r="AF17" s="73"/>
      <c r="AG17" s="73"/>
      <c r="AH17" s="73"/>
      <c r="AI17" s="78"/>
      <c r="AJ17" s="78"/>
      <c r="AK17" s="78"/>
      <c r="AL17" s="78"/>
      <c r="AM17" s="79" t="str">
        <f t="shared" si="0"/>
        <v/>
      </c>
      <c r="AN17" s="79"/>
      <c r="AO17" s="79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1" t="str">
        <f t="shared" si="1"/>
        <v/>
      </c>
      <c r="BG17" s="82"/>
      <c r="BH17" s="83"/>
      <c r="BI17" s="85" t="str">
        <f>IF(P17="","",VLOOKUP(BF17,Planilha3!$F$3:$G$18,2,0))</f>
        <v/>
      </c>
      <c r="BJ17" s="85"/>
      <c r="BK17" s="85"/>
      <c r="BL17" s="85"/>
      <c r="BM17" s="86"/>
      <c r="BN17" s="86"/>
      <c r="BO17" s="86"/>
      <c r="BP17" s="86"/>
      <c r="BQ17" s="84" t="str">
        <f>LANÇAMENTOS!K12</f>
        <v>-</v>
      </c>
      <c r="BR17" s="84"/>
      <c r="BS17" s="84"/>
      <c r="BT17" s="84"/>
      <c r="BU17" s="84"/>
      <c r="BV17" s="77" t="str">
        <f>IF(P17="","",LANÇAMENTOS!N12)</f>
        <v/>
      </c>
      <c r="BW17" s="77"/>
      <c r="BX17" s="77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49"/>
      <c r="CM17" s="61" t="str">
        <f t="shared" si="4"/>
        <v/>
      </c>
      <c r="CN17" s="62">
        <f t="shared" si="5"/>
        <v>4</v>
      </c>
      <c r="CO17" s="62" t="e">
        <f>VLOOKUP(AP17,Planilha2!$C$4:$D$7,2,0)</f>
        <v>#N/A</v>
      </c>
      <c r="CP17" s="62" t="e">
        <f t="shared" si="6"/>
        <v>#N/A</v>
      </c>
      <c r="CQ17" s="62" t="str">
        <f>IFERROR(VLOOKUP(CP17,Planilha3!$F$3:$H$18,3,0),"")</f>
        <v/>
      </c>
      <c r="CR17" s="62"/>
      <c r="CS17" s="62"/>
      <c r="CT17" s="62" t="e">
        <f>VLOOKUP(AU17,Planilha2!$C$10:$D$13,2,0)</f>
        <v>#N/A</v>
      </c>
      <c r="CU17" s="62"/>
      <c r="CV17" s="62" t="e">
        <f>VLOOKUP(AZ17,Planilha2!$E$4:$F$7,2,0)</f>
        <v>#N/A</v>
      </c>
      <c r="CW17" s="62" t="e">
        <f t="shared" si="7"/>
        <v>#N/A</v>
      </c>
      <c r="CX17" s="62" t="e">
        <f>VLOOKUP(CW17,Planilha3!$F$3:$H$18,3,0)</f>
        <v>#N/A</v>
      </c>
      <c r="CY17" s="63" t="e">
        <f t="shared" si="8"/>
        <v>#N/A</v>
      </c>
      <c r="CZ17" s="63" t="e">
        <f>VLOOKUP(CY17,Planilha3!$F$3:$H$18,3,0)</f>
        <v>#N/A</v>
      </c>
      <c r="DA17" s="58"/>
      <c r="DB17" s="58"/>
      <c r="DC17" s="58"/>
      <c r="DD17" s="58"/>
      <c r="DE17" s="58"/>
      <c r="DF17" s="58"/>
      <c r="DG17" s="58"/>
      <c r="DH17" s="58"/>
      <c r="DI17" s="58"/>
      <c r="DJ17" s="58"/>
      <c r="DK17" s="58"/>
      <c r="DL17" s="58"/>
      <c r="DM17" s="58"/>
      <c r="DQ17" s="58"/>
      <c r="DR17" s="58"/>
    </row>
    <row r="18" spans="1:122" ht="114" customHeight="1" x14ac:dyDescent="0.25">
      <c r="A18" s="69" t="s">
        <v>80</v>
      </c>
      <c r="B18" s="78" t="s">
        <v>54</v>
      </c>
      <c r="C18" s="78"/>
      <c r="D18" s="78"/>
      <c r="E18" s="78"/>
      <c r="F18" s="78"/>
      <c r="G18" s="78"/>
      <c r="H18" s="78"/>
      <c r="I18" s="78"/>
      <c r="J18" s="78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78"/>
      <c r="AB18" s="78"/>
      <c r="AC18" s="78"/>
      <c r="AD18" s="78"/>
      <c r="AE18" s="73"/>
      <c r="AF18" s="73"/>
      <c r="AG18" s="73"/>
      <c r="AH18" s="73"/>
      <c r="AI18" s="78"/>
      <c r="AJ18" s="78"/>
      <c r="AK18" s="78"/>
      <c r="AL18" s="78"/>
      <c r="AM18" s="79" t="str">
        <f t="shared" si="0"/>
        <v/>
      </c>
      <c r="AN18" s="79"/>
      <c r="AO18" s="79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1" t="str">
        <f t="shared" si="1"/>
        <v/>
      </c>
      <c r="BG18" s="82"/>
      <c r="BH18" s="83"/>
      <c r="BI18" s="85" t="str">
        <f>IF(P18="","",VLOOKUP(BF18,Planilha3!$F$3:$G$18,2,0))</f>
        <v/>
      </c>
      <c r="BJ18" s="85"/>
      <c r="BK18" s="85"/>
      <c r="BL18" s="85"/>
      <c r="BM18" s="86"/>
      <c r="BN18" s="86"/>
      <c r="BO18" s="86"/>
      <c r="BP18" s="86"/>
      <c r="BQ18" s="84" t="str">
        <f>LANÇAMENTOS!K13</f>
        <v>-</v>
      </c>
      <c r="BR18" s="84"/>
      <c r="BS18" s="84"/>
      <c r="BT18" s="84"/>
      <c r="BU18" s="84"/>
      <c r="BV18" s="77" t="str">
        <f>IF(P18="","",LANÇAMENTOS!N13)</f>
        <v/>
      </c>
      <c r="BW18" s="77"/>
      <c r="BX18" s="77"/>
      <c r="BY18" s="73"/>
      <c r="BZ18" s="73"/>
      <c r="CA18" s="73"/>
      <c r="CB18" s="73"/>
      <c r="CC18" s="73"/>
      <c r="CD18" s="73"/>
      <c r="CE18" s="73"/>
      <c r="CF18" s="73"/>
      <c r="CG18" s="73"/>
      <c r="CH18" s="73"/>
      <c r="CI18" s="73"/>
      <c r="CJ18" s="73"/>
      <c r="CK18" s="73"/>
      <c r="CL18" s="49"/>
      <c r="CM18" s="61" t="str">
        <f t="shared" si="4"/>
        <v/>
      </c>
      <c r="CN18" s="62">
        <f t="shared" si="5"/>
        <v>4</v>
      </c>
      <c r="CO18" s="62" t="e">
        <f>VLOOKUP(AP18,Planilha2!$C$4:$D$7,2,0)</f>
        <v>#N/A</v>
      </c>
      <c r="CP18" s="62" t="e">
        <f t="shared" si="6"/>
        <v>#N/A</v>
      </c>
      <c r="CQ18" s="62" t="str">
        <f>IFERROR(VLOOKUP(CP18,Planilha3!$F$3:$H$18,3,0),"")</f>
        <v/>
      </c>
      <c r="CR18" s="62"/>
      <c r="CS18" s="62"/>
      <c r="CT18" s="62" t="e">
        <f>VLOOKUP(AU18,Planilha2!$C$10:$D$13,2,0)</f>
        <v>#N/A</v>
      </c>
      <c r="CU18" s="62"/>
      <c r="CV18" s="62" t="e">
        <f>VLOOKUP(AZ18,Planilha2!$E$4:$F$7,2,0)</f>
        <v>#N/A</v>
      </c>
      <c r="CW18" s="62" t="e">
        <f t="shared" si="7"/>
        <v>#N/A</v>
      </c>
      <c r="CX18" s="62" t="e">
        <f>VLOOKUP(CW18,Planilha3!$F$3:$H$18,3,0)</f>
        <v>#N/A</v>
      </c>
      <c r="CY18" s="63" t="e">
        <f t="shared" si="8"/>
        <v>#N/A</v>
      </c>
      <c r="CZ18" s="63" t="e">
        <f>VLOOKUP(CY18,Planilha3!$F$3:$H$18,3,0)</f>
        <v>#N/A</v>
      </c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Q18" s="58"/>
      <c r="DR18" s="58"/>
    </row>
    <row r="19" spans="1:122" ht="114" customHeight="1" x14ac:dyDescent="0.25">
      <c r="A19" s="69" t="s">
        <v>81</v>
      </c>
      <c r="B19" s="78"/>
      <c r="C19" s="78"/>
      <c r="D19" s="78"/>
      <c r="E19" s="78"/>
      <c r="F19" s="78"/>
      <c r="G19" s="78"/>
      <c r="H19" s="78"/>
      <c r="I19" s="78"/>
      <c r="J19" s="78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78"/>
      <c r="AB19" s="78"/>
      <c r="AC19" s="78"/>
      <c r="AD19" s="78"/>
      <c r="AE19" s="73"/>
      <c r="AF19" s="73"/>
      <c r="AG19" s="73"/>
      <c r="AH19" s="73"/>
      <c r="AI19" s="78"/>
      <c r="AJ19" s="78"/>
      <c r="AK19" s="78"/>
      <c r="AL19" s="78"/>
      <c r="AM19" s="79" t="str">
        <f t="shared" si="0"/>
        <v/>
      </c>
      <c r="AN19" s="79"/>
      <c r="AO19" s="79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1" t="str">
        <f t="shared" si="1"/>
        <v/>
      </c>
      <c r="BG19" s="82"/>
      <c r="BH19" s="83"/>
      <c r="BI19" s="85" t="str">
        <f>IF(P19="","",VLOOKUP(BF19,Planilha3!$F$3:$G$18,2,0))</f>
        <v/>
      </c>
      <c r="BJ19" s="85"/>
      <c r="BK19" s="85"/>
      <c r="BL19" s="85"/>
      <c r="BM19" s="86"/>
      <c r="BN19" s="86"/>
      <c r="BO19" s="86"/>
      <c r="BP19" s="86"/>
      <c r="BQ19" s="84" t="str">
        <f>LANÇAMENTOS!K14</f>
        <v>-</v>
      </c>
      <c r="BR19" s="84"/>
      <c r="BS19" s="84"/>
      <c r="BT19" s="84"/>
      <c r="BU19" s="84"/>
      <c r="BV19" s="77" t="str">
        <f>IF(P19="","",LANÇAMENTOS!N14)</f>
        <v/>
      </c>
      <c r="BW19" s="77"/>
      <c r="BX19" s="77"/>
      <c r="BY19" s="70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2"/>
      <c r="CL19" s="49"/>
      <c r="CM19" s="61" t="str">
        <f t="shared" si="4"/>
        <v/>
      </c>
      <c r="CN19" s="62">
        <f t="shared" si="5"/>
        <v>4</v>
      </c>
      <c r="CO19" s="62" t="e">
        <f>VLOOKUP(AP19,Planilha2!$C$4:$D$7,2,0)</f>
        <v>#N/A</v>
      </c>
      <c r="CP19" s="62" t="e">
        <f t="shared" si="6"/>
        <v>#N/A</v>
      </c>
      <c r="CQ19" s="62" t="str">
        <f>IFERROR(VLOOKUP(CP19,Planilha3!$F$3:$H$18,3,0),"")</f>
        <v/>
      </c>
      <c r="CR19" s="62"/>
      <c r="CS19" s="62"/>
      <c r="CT19" s="62" t="e">
        <f>VLOOKUP(AU19,Planilha2!$C$10:$D$13,2,0)</f>
        <v>#N/A</v>
      </c>
      <c r="CU19" s="62"/>
      <c r="CV19" s="62" t="e">
        <f>VLOOKUP(AZ19,Planilha2!$E$4:$F$7,2,0)</f>
        <v>#N/A</v>
      </c>
      <c r="CW19" s="62" t="e">
        <f t="shared" si="7"/>
        <v>#N/A</v>
      </c>
      <c r="CX19" s="62" t="e">
        <f>VLOOKUP(CW19,Planilha3!$F$3:$H$18,3,0)</f>
        <v>#N/A</v>
      </c>
      <c r="CY19" s="63" t="e">
        <f t="shared" si="8"/>
        <v>#N/A</v>
      </c>
      <c r="CZ19" s="63" t="e">
        <f>VLOOKUP(CY19,Planilha3!$F$3:$H$18,3,0)</f>
        <v>#N/A</v>
      </c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Q19" s="58"/>
      <c r="DR19" s="58"/>
    </row>
    <row r="20" spans="1:122" ht="114" customHeight="1" x14ac:dyDescent="0.25">
      <c r="A20" s="69" t="s">
        <v>84</v>
      </c>
      <c r="B20" s="78" t="s">
        <v>198</v>
      </c>
      <c r="C20" s="78"/>
      <c r="D20" s="78"/>
      <c r="E20" s="78"/>
      <c r="F20" s="78"/>
      <c r="G20" s="78"/>
      <c r="H20" s="78"/>
      <c r="I20" s="78"/>
      <c r="J20" s="78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78"/>
      <c r="AB20" s="78"/>
      <c r="AC20" s="78"/>
      <c r="AD20" s="78"/>
      <c r="AE20" s="73"/>
      <c r="AF20" s="73"/>
      <c r="AG20" s="73"/>
      <c r="AH20" s="73"/>
      <c r="AI20" s="78"/>
      <c r="AJ20" s="78"/>
      <c r="AK20" s="78"/>
      <c r="AL20" s="78"/>
      <c r="AM20" s="79" t="str">
        <f t="shared" ref="AM20" si="9">IF(P20="","",AI20/$BA$4)</f>
        <v/>
      </c>
      <c r="AN20" s="79"/>
      <c r="AO20" s="79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1" t="str">
        <f t="shared" ref="BF20:BF21" si="10">IF(AI20="","",CY20)</f>
        <v/>
      </c>
      <c r="BG20" s="82"/>
      <c r="BH20" s="83"/>
      <c r="BI20" s="85" t="str">
        <f>IF(P20="","",VLOOKUP(BF20,Planilha3!$F$3:$G$18,2,0))</f>
        <v/>
      </c>
      <c r="BJ20" s="85"/>
      <c r="BK20" s="85"/>
      <c r="BL20" s="85"/>
      <c r="BM20" s="86"/>
      <c r="BN20" s="86"/>
      <c r="BO20" s="86"/>
      <c r="BP20" s="86"/>
      <c r="BQ20" s="84" t="str">
        <f>LANÇAMENTOS!K15</f>
        <v>-</v>
      </c>
      <c r="BR20" s="84"/>
      <c r="BS20" s="84"/>
      <c r="BT20" s="84"/>
      <c r="BU20" s="84"/>
      <c r="BV20" s="77" t="str">
        <f>IF(P20="","",LANÇAMENTOS!N15)</f>
        <v/>
      </c>
      <c r="BW20" s="77"/>
      <c r="BX20" s="77"/>
      <c r="BY20" s="70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2"/>
      <c r="CL20" s="49"/>
      <c r="CM20" s="61" t="str">
        <f t="shared" si="4"/>
        <v/>
      </c>
      <c r="CN20" s="62">
        <f t="shared" si="5"/>
        <v>4</v>
      </c>
      <c r="CO20" s="62" t="e">
        <f>VLOOKUP(AP20,Planilha2!$C$4:$D$7,2,0)</f>
        <v>#N/A</v>
      </c>
      <c r="CP20" s="62" t="e">
        <f t="shared" si="6"/>
        <v>#N/A</v>
      </c>
      <c r="CQ20" s="62" t="str">
        <f>IFERROR(VLOOKUP(CP20,Planilha3!$F$3:$H$18,3,0),"")</f>
        <v/>
      </c>
      <c r="CR20" s="62"/>
      <c r="CS20" s="62"/>
      <c r="CT20" s="62" t="e">
        <f>VLOOKUP(AU20,Planilha2!$C$10:$D$13,2,0)</f>
        <v>#N/A</v>
      </c>
      <c r="CU20" s="62"/>
      <c r="CV20" s="62" t="e">
        <f>VLOOKUP(AZ20,Planilha2!$E$4:$F$7,2,0)</f>
        <v>#N/A</v>
      </c>
      <c r="CW20" s="62" t="e">
        <f t="shared" si="7"/>
        <v>#N/A</v>
      </c>
      <c r="CX20" s="62" t="e">
        <f>VLOOKUP(CW20,Planilha3!$F$3:$H$18,3,0)</f>
        <v>#N/A</v>
      </c>
      <c r="CY20" s="63" t="e">
        <f t="shared" si="8"/>
        <v>#N/A</v>
      </c>
      <c r="CZ20" s="63" t="e">
        <f>VLOOKUP(CY20,Planilha3!$F$3:$H$18,3,0)</f>
        <v>#N/A</v>
      </c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Q20" s="58"/>
      <c r="DR20" s="58"/>
    </row>
    <row r="21" spans="1:122" ht="114" customHeight="1" x14ac:dyDescent="0.25">
      <c r="A21" s="69" t="s">
        <v>86</v>
      </c>
      <c r="B21" s="78" t="s">
        <v>198</v>
      </c>
      <c r="C21" s="78"/>
      <c r="D21" s="78"/>
      <c r="E21" s="78"/>
      <c r="F21" s="78"/>
      <c r="G21" s="78"/>
      <c r="H21" s="78"/>
      <c r="I21" s="78"/>
      <c r="J21" s="78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78"/>
      <c r="AB21" s="78"/>
      <c r="AC21" s="78"/>
      <c r="AD21" s="78"/>
      <c r="AE21" s="73"/>
      <c r="AF21" s="73"/>
      <c r="AG21" s="73"/>
      <c r="AH21" s="73"/>
      <c r="AI21" s="78"/>
      <c r="AJ21" s="78"/>
      <c r="AK21" s="78"/>
      <c r="AL21" s="78"/>
      <c r="AM21" s="79" t="str">
        <f t="shared" ref="AM21:AM26" si="11">IF(P21="","",AI21/$BA$4)</f>
        <v/>
      </c>
      <c r="AN21" s="79"/>
      <c r="AO21" s="79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1" t="str">
        <f t="shared" si="10"/>
        <v/>
      </c>
      <c r="BG21" s="82"/>
      <c r="BH21" s="83"/>
      <c r="BI21" s="85" t="str">
        <f>IF(P21="","",VLOOKUP(BF21,Planilha3!$F$3:$G$18,2,0))</f>
        <v/>
      </c>
      <c r="BJ21" s="85"/>
      <c r="BK21" s="85"/>
      <c r="BL21" s="85"/>
      <c r="BM21" s="86"/>
      <c r="BN21" s="86"/>
      <c r="BO21" s="86"/>
      <c r="BP21" s="86"/>
      <c r="BQ21" s="84" t="str">
        <f>LANÇAMENTOS!K16</f>
        <v>-</v>
      </c>
      <c r="BR21" s="84"/>
      <c r="BS21" s="84"/>
      <c r="BT21" s="84"/>
      <c r="BU21" s="84"/>
      <c r="BV21" s="77" t="str">
        <f>IF(P21="","",LANÇAMENTOS!N16)</f>
        <v/>
      </c>
      <c r="BW21" s="77"/>
      <c r="BX21" s="77"/>
      <c r="BY21" s="70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2"/>
      <c r="CL21" s="49"/>
      <c r="CM21" s="61" t="str">
        <f t="shared" si="4"/>
        <v/>
      </c>
      <c r="CN21" s="62">
        <f t="shared" si="5"/>
        <v>4</v>
      </c>
      <c r="CO21" s="62" t="e">
        <f>VLOOKUP(AP21,Planilha2!$C$4:$D$7,2,0)</f>
        <v>#N/A</v>
      </c>
      <c r="CP21" s="62" t="e">
        <f t="shared" si="6"/>
        <v>#N/A</v>
      </c>
      <c r="CQ21" s="62" t="str">
        <f>IFERROR(VLOOKUP(CP21,Planilha3!$F$3:$H$18,3,0),"")</f>
        <v/>
      </c>
      <c r="CR21" s="62"/>
      <c r="CS21" s="62"/>
      <c r="CT21" s="62" t="e">
        <f>VLOOKUP(AU21,Planilha2!$C$10:$D$13,2,0)</f>
        <v>#N/A</v>
      </c>
      <c r="CU21" s="62"/>
      <c r="CV21" s="62" t="e">
        <f>VLOOKUP(AZ21,Planilha2!$E$4:$F$7,2,0)</f>
        <v>#N/A</v>
      </c>
      <c r="CW21" s="62" t="e">
        <f t="shared" si="7"/>
        <v>#N/A</v>
      </c>
      <c r="CX21" s="62" t="e">
        <f>VLOOKUP(CW21,Planilha3!$F$3:$H$18,3,0)</f>
        <v>#N/A</v>
      </c>
      <c r="CY21" s="63" t="e">
        <f t="shared" si="8"/>
        <v>#N/A</v>
      </c>
      <c r="CZ21" s="63" t="e">
        <f>VLOOKUP(CY21,Planilha3!$F$3:$H$18,3,0)</f>
        <v>#N/A</v>
      </c>
      <c r="DA21" s="58"/>
      <c r="DB21" s="58"/>
      <c r="DC21" s="58"/>
      <c r="DD21" s="58"/>
      <c r="DE21" s="58"/>
      <c r="DF21" s="58"/>
      <c r="DG21" s="58"/>
      <c r="DH21" s="58"/>
      <c r="DI21" s="58"/>
      <c r="DJ21" s="58"/>
      <c r="DK21" s="58"/>
      <c r="DL21" s="58"/>
      <c r="DM21" s="58"/>
      <c r="DQ21" s="58"/>
      <c r="DR21" s="58"/>
    </row>
    <row r="22" spans="1:122" ht="114" customHeight="1" x14ac:dyDescent="0.25">
      <c r="A22" s="69" t="s">
        <v>87</v>
      </c>
      <c r="B22" s="78"/>
      <c r="C22" s="78"/>
      <c r="D22" s="78"/>
      <c r="E22" s="78"/>
      <c r="F22" s="78"/>
      <c r="G22" s="78"/>
      <c r="H22" s="78"/>
      <c r="I22" s="78"/>
      <c r="J22" s="78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78"/>
      <c r="AB22" s="78"/>
      <c r="AC22" s="78"/>
      <c r="AD22" s="78"/>
      <c r="AE22" s="73"/>
      <c r="AF22" s="73"/>
      <c r="AG22" s="73"/>
      <c r="AH22" s="73"/>
      <c r="AI22" s="78"/>
      <c r="AJ22" s="78"/>
      <c r="AK22" s="78"/>
      <c r="AL22" s="78"/>
      <c r="AM22" s="79" t="str">
        <f t="shared" si="11"/>
        <v/>
      </c>
      <c r="AN22" s="79"/>
      <c r="AO22" s="79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1" t="str">
        <f t="shared" ref="BF22:BF26" si="12">IF(AI22="","",CY22)</f>
        <v/>
      </c>
      <c r="BG22" s="82"/>
      <c r="BH22" s="83"/>
      <c r="BI22" s="85" t="str">
        <f>IF(P22="","",VLOOKUP(BF22,Planilha3!$F$3:$G$18,2,0))</f>
        <v/>
      </c>
      <c r="BJ22" s="85"/>
      <c r="BK22" s="85"/>
      <c r="BL22" s="85"/>
      <c r="BM22" s="86"/>
      <c r="BN22" s="86"/>
      <c r="BO22" s="86"/>
      <c r="BP22" s="86"/>
      <c r="BQ22" s="84" t="str">
        <f>LANÇAMENTOS!K17</f>
        <v>-</v>
      </c>
      <c r="BR22" s="84"/>
      <c r="BS22" s="84"/>
      <c r="BT22" s="84"/>
      <c r="BU22" s="84"/>
      <c r="BV22" s="77" t="str">
        <f>IF(P22="","",LANÇAMENTOS!N17)</f>
        <v/>
      </c>
      <c r="BW22" s="77"/>
      <c r="BX22" s="77"/>
      <c r="BY22" s="70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2"/>
      <c r="CL22" s="49"/>
      <c r="CM22" s="61" t="str">
        <f t="shared" si="4"/>
        <v/>
      </c>
      <c r="CN22" s="62">
        <f t="shared" si="5"/>
        <v>4</v>
      </c>
      <c r="CO22" s="62" t="e">
        <f>VLOOKUP(AP22,Planilha2!$C$4:$D$7,2,0)</f>
        <v>#N/A</v>
      </c>
      <c r="CP22" s="62" t="e">
        <f t="shared" si="6"/>
        <v>#N/A</v>
      </c>
      <c r="CQ22" s="62" t="str">
        <f>IFERROR(VLOOKUP(CP22,Planilha3!$F$3:$H$18,3,0),"")</f>
        <v/>
      </c>
      <c r="CR22" s="62"/>
      <c r="CS22" s="62"/>
      <c r="CT22" s="62" t="e">
        <f>VLOOKUP(AU22,Planilha2!$C$10:$D$13,2,0)</f>
        <v>#N/A</v>
      </c>
      <c r="CU22" s="62"/>
      <c r="CV22" s="62" t="e">
        <f>VLOOKUP(AZ22,Planilha2!$E$4:$F$7,2,0)</f>
        <v>#N/A</v>
      </c>
      <c r="CW22" s="62" t="e">
        <f t="shared" si="7"/>
        <v>#N/A</v>
      </c>
      <c r="CX22" s="62" t="e">
        <f>VLOOKUP(CW22,Planilha3!$F$3:$H$18,3,0)</f>
        <v>#N/A</v>
      </c>
      <c r="CY22" s="63" t="e">
        <f t="shared" si="8"/>
        <v>#N/A</v>
      </c>
      <c r="CZ22" s="63" t="e">
        <f>VLOOKUP(CY22,Planilha3!$F$3:$H$18,3,0)</f>
        <v>#N/A</v>
      </c>
      <c r="DA22" s="58"/>
      <c r="DB22" s="58"/>
      <c r="DC22" s="58"/>
      <c r="DD22" s="58"/>
      <c r="DE22" s="58"/>
      <c r="DF22" s="58"/>
      <c r="DG22" s="58"/>
      <c r="DH22" s="58"/>
      <c r="DI22" s="58"/>
      <c r="DJ22" s="58"/>
      <c r="DK22" s="58"/>
      <c r="DL22" s="58"/>
      <c r="DM22" s="58"/>
      <c r="DQ22" s="58"/>
      <c r="DR22" s="58"/>
    </row>
    <row r="23" spans="1:122" ht="114" customHeight="1" x14ac:dyDescent="0.25">
      <c r="A23" s="69" t="s">
        <v>88</v>
      </c>
      <c r="B23" s="78"/>
      <c r="C23" s="78"/>
      <c r="D23" s="78"/>
      <c r="E23" s="78"/>
      <c r="F23" s="78"/>
      <c r="G23" s="78"/>
      <c r="H23" s="78"/>
      <c r="I23" s="78"/>
      <c r="J23" s="78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78"/>
      <c r="AB23" s="78"/>
      <c r="AC23" s="78"/>
      <c r="AD23" s="78"/>
      <c r="AE23" s="73"/>
      <c r="AF23" s="73"/>
      <c r="AG23" s="73"/>
      <c r="AH23" s="73"/>
      <c r="AI23" s="78"/>
      <c r="AJ23" s="78"/>
      <c r="AK23" s="78"/>
      <c r="AL23" s="78"/>
      <c r="AM23" s="79" t="str">
        <f t="shared" si="11"/>
        <v/>
      </c>
      <c r="AN23" s="79"/>
      <c r="AO23" s="79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1" t="str">
        <f t="shared" si="12"/>
        <v/>
      </c>
      <c r="BG23" s="82"/>
      <c r="BH23" s="83"/>
      <c r="BI23" s="85" t="str">
        <f>IF(P23="","",VLOOKUP(BF23,Planilha3!$F$3:$G$18,2,0))</f>
        <v/>
      </c>
      <c r="BJ23" s="85"/>
      <c r="BK23" s="85"/>
      <c r="BL23" s="85"/>
      <c r="BM23" s="86"/>
      <c r="BN23" s="86"/>
      <c r="BO23" s="86"/>
      <c r="BP23" s="86"/>
      <c r="BQ23" s="84" t="str">
        <f>LANÇAMENTOS!K18</f>
        <v>-</v>
      </c>
      <c r="BR23" s="84"/>
      <c r="BS23" s="84"/>
      <c r="BT23" s="84"/>
      <c r="BU23" s="84"/>
      <c r="BV23" s="77" t="str">
        <f>IF(P23="","",LANÇAMENTOS!N18)</f>
        <v/>
      </c>
      <c r="BW23" s="77"/>
      <c r="BX23" s="77"/>
      <c r="BY23" s="70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2"/>
      <c r="CL23" s="49"/>
      <c r="CM23" s="61" t="str">
        <f t="shared" si="4"/>
        <v/>
      </c>
      <c r="CN23" s="62">
        <f t="shared" si="5"/>
        <v>4</v>
      </c>
      <c r="CO23" s="62" t="e">
        <f>VLOOKUP(AP23,Planilha2!$C$4:$D$7,2,0)</f>
        <v>#N/A</v>
      </c>
      <c r="CP23" s="62" t="e">
        <f t="shared" si="6"/>
        <v>#N/A</v>
      </c>
      <c r="CQ23" s="62" t="str">
        <f>IFERROR(VLOOKUP(CP23,Planilha3!$F$3:$H$18,3,0),"")</f>
        <v/>
      </c>
      <c r="CR23" s="62"/>
      <c r="CS23" s="62"/>
      <c r="CT23" s="62" t="e">
        <f>VLOOKUP(AU23,Planilha2!$C$10:$D$13,2,0)</f>
        <v>#N/A</v>
      </c>
      <c r="CU23" s="62"/>
      <c r="CV23" s="62" t="e">
        <f>VLOOKUP(AZ23,Planilha2!$E$4:$F$7,2,0)</f>
        <v>#N/A</v>
      </c>
      <c r="CW23" s="62" t="e">
        <f t="shared" si="7"/>
        <v>#N/A</v>
      </c>
      <c r="CX23" s="62" t="e">
        <f>VLOOKUP(CW23,Planilha3!$F$3:$H$18,3,0)</f>
        <v>#N/A</v>
      </c>
      <c r="CY23" s="63" t="e">
        <f t="shared" si="8"/>
        <v>#N/A</v>
      </c>
      <c r="CZ23" s="63" t="e">
        <f>VLOOKUP(CY23,Planilha3!$F$3:$H$18,3,0)</f>
        <v>#N/A</v>
      </c>
      <c r="DA23" s="58"/>
      <c r="DB23" s="58"/>
      <c r="DC23" s="58"/>
      <c r="DD23" s="58"/>
      <c r="DE23" s="58"/>
      <c r="DF23" s="58"/>
      <c r="DG23" s="58"/>
      <c r="DH23" s="58"/>
      <c r="DI23" s="58"/>
      <c r="DJ23" s="58"/>
      <c r="DK23" s="58"/>
      <c r="DL23" s="58"/>
      <c r="DM23" s="58"/>
      <c r="DQ23" s="58"/>
      <c r="DR23" s="58"/>
    </row>
    <row r="24" spans="1:122" ht="114" customHeight="1" x14ac:dyDescent="0.25">
      <c r="A24" s="69" t="s">
        <v>89</v>
      </c>
      <c r="B24" s="78"/>
      <c r="C24" s="78"/>
      <c r="D24" s="78"/>
      <c r="E24" s="78"/>
      <c r="F24" s="78"/>
      <c r="G24" s="78"/>
      <c r="H24" s="78"/>
      <c r="I24" s="78"/>
      <c r="J24" s="78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78"/>
      <c r="AB24" s="78"/>
      <c r="AC24" s="78"/>
      <c r="AD24" s="78"/>
      <c r="AE24" s="73"/>
      <c r="AF24" s="73"/>
      <c r="AG24" s="73"/>
      <c r="AH24" s="73"/>
      <c r="AI24" s="78"/>
      <c r="AJ24" s="78"/>
      <c r="AK24" s="78"/>
      <c r="AL24" s="78"/>
      <c r="AM24" s="79" t="str">
        <f t="shared" si="11"/>
        <v/>
      </c>
      <c r="AN24" s="79"/>
      <c r="AO24" s="79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1" t="str">
        <f t="shared" si="12"/>
        <v/>
      </c>
      <c r="BG24" s="82"/>
      <c r="BH24" s="83"/>
      <c r="BI24" s="85" t="str">
        <f>IF(P24="","",VLOOKUP(BF24,Planilha3!$F$3:$G$18,2,0))</f>
        <v/>
      </c>
      <c r="BJ24" s="85"/>
      <c r="BK24" s="85"/>
      <c r="BL24" s="85"/>
      <c r="BM24" s="86"/>
      <c r="BN24" s="86"/>
      <c r="BO24" s="86"/>
      <c r="BP24" s="86"/>
      <c r="BQ24" s="84" t="str">
        <f>LANÇAMENTOS!K19</f>
        <v>-</v>
      </c>
      <c r="BR24" s="84"/>
      <c r="BS24" s="84"/>
      <c r="BT24" s="84"/>
      <c r="BU24" s="84"/>
      <c r="BV24" s="77" t="str">
        <f>IF(P24="","",LANÇAMENTOS!N19)</f>
        <v/>
      </c>
      <c r="BW24" s="77"/>
      <c r="BX24" s="77"/>
      <c r="BY24" s="70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2"/>
      <c r="CL24" s="49"/>
      <c r="CM24" s="61" t="str">
        <f t="shared" si="4"/>
        <v/>
      </c>
      <c r="CN24" s="62">
        <f t="shared" si="5"/>
        <v>4</v>
      </c>
      <c r="CO24" s="62" t="e">
        <f>VLOOKUP(AP24,Planilha2!$C$4:$D$7,2,0)</f>
        <v>#N/A</v>
      </c>
      <c r="CP24" s="62" t="e">
        <f t="shared" si="6"/>
        <v>#N/A</v>
      </c>
      <c r="CQ24" s="62" t="str">
        <f>IFERROR(VLOOKUP(CP24,Planilha3!$F$3:$H$18,3,0),"")</f>
        <v/>
      </c>
      <c r="CR24" s="62"/>
      <c r="CS24" s="62"/>
      <c r="CT24" s="62" t="e">
        <f>VLOOKUP(AU24,Planilha2!$C$10:$D$13,2,0)</f>
        <v>#N/A</v>
      </c>
      <c r="CU24" s="62"/>
      <c r="CV24" s="62" t="e">
        <f>VLOOKUP(AZ24,Planilha2!$E$4:$F$7,2,0)</f>
        <v>#N/A</v>
      </c>
      <c r="CW24" s="62" t="e">
        <f t="shared" si="7"/>
        <v>#N/A</v>
      </c>
      <c r="CX24" s="62" t="e">
        <f>VLOOKUP(CW24,Planilha3!$F$3:$H$18,3,0)</f>
        <v>#N/A</v>
      </c>
      <c r="CY24" s="63" t="e">
        <f t="shared" si="8"/>
        <v>#N/A</v>
      </c>
      <c r="CZ24" s="63" t="e">
        <f>VLOOKUP(CY24,Planilha3!$F$3:$H$18,3,0)</f>
        <v>#N/A</v>
      </c>
      <c r="DA24" s="58"/>
      <c r="DB24" s="58"/>
      <c r="DC24" s="58"/>
      <c r="DD24" s="58"/>
      <c r="DE24" s="58"/>
      <c r="DF24" s="58"/>
      <c r="DG24" s="58"/>
      <c r="DH24" s="58"/>
      <c r="DI24" s="58"/>
      <c r="DJ24" s="58"/>
      <c r="DK24" s="58"/>
      <c r="DL24" s="58"/>
      <c r="DM24" s="58"/>
      <c r="DQ24" s="58"/>
      <c r="DR24" s="58"/>
    </row>
    <row r="25" spans="1:122" ht="114" customHeight="1" x14ac:dyDescent="0.25">
      <c r="A25" s="69" t="s">
        <v>90</v>
      </c>
      <c r="B25" s="78"/>
      <c r="C25" s="78"/>
      <c r="D25" s="78"/>
      <c r="E25" s="78"/>
      <c r="F25" s="78"/>
      <c r="G25" s="78"/>
      <c r="H25" s="78"/>
      <c r="I25" s="78"/>
      <c r="J25" s="78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78"/>
      <c r="AB25" s="78"/>
      <c r="AC25" s="78"/>
      <c r="AD25" s="78"/>
      <c r="AE25" s="73"/>
      <c r="AF25" s="73"/>
      <c r="AG25" s="73"/>
      <c r="AH25" s="73"/>
      <c r="AI25" s="78"/>
      <c r="AJ25" s="78"/>
      <c r="AK25" s="78"/>
      <c r="AL25" s="78"/>
      <c r="AM25" s="79" t="str">
        <f t="shared" si="11"/>
        <v/>
      </c>
      <c r="AN25" s="79"/>
      <c r="AO25" s="79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1" t="str">
        <f t="shared" si="12"/>
        <v/>
      </c>
      <c r="BG25" s="82"/>
      <c r="BH25" s="83"/>
      <c r="BI25" s="85" t="str">
        <f>IF(P25="","",VLOOKUP(BF25,Planilha3!$F$3:$G$18,2,0))</f>
        <v/>
      </c>
      <c r="BJ25" s="85"/>
      <c r="BK25" s="85"/>
      <c r="BL25" s="85"/>
      <c r="BM25" s="86"/>
      <c r="BN25" s="86"/>
      <c r="BO25" s="86"/>
      <c r="BP25" s="86"/>
      <c r="BQ25" s="84" t="str">
        <f>LANÇAMENTOS!K20</f>
        <v>-</v>
      </c>
      <c r="BR25" s="84"/>
      <c r="BS25" s="84"/>
      <c r="BT25" s="84"/>
      <c r="BU25" s="84"/>
      <c r="BV25" s="77" t="str">
        <f>IF(P25="","",LANÇAMENTOS!N20)</f>
        <v/>
      </c>
      <c r="BW25" s="77"/>
      <c r="BX25" s="77"/>
      <c r="BY25" s="70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2"/>
      <c r="CL25" s="49"/>
      <c r="CM25" s="61" t="str">
        <f t="shared" si="4"/>
        <v/>
      </c>
      <c r="CN25" s="62">
        <f t="shared" si="5"/>
        <v>4</v>
      </c>
      <c r="CO25" s="62" t="e">
        <f>VLOOKUP(AP25,Planilha2!$C$4:$D$7,2,0)</f>
        <v>#N/A</v>
      </c>
      <c r="CP25" s="62" t="e">
        <f t="shared" si="6"/>
        <v>#N/A</v>
      </c>
      <c r="CQ25" s="62" t="str">
        <f>IFERROR(VLOOKUP(CP25,Planilha3!$F$3:$H$18,3,0),"")</f>
        <v/>
      </c>
      <c r="CR25" s="62"/>
      <c r="CS25" s="62"/>
      <c r="CT25" s="62" t="e">
        <f>VLOOKUP(AU25,Planilha2!$C$10:$D$13,2,0)</f>
        <v>#N/A</v>
      </c>
      <c r="CU25" s="62"/>
      <c r="CV25" s="62" t="e">
        <f>VLOOKUP(AZ25,Planilha2!$E$4:$F$7,2,0)</f>
        <v>#N/A</v>
      </c>
      <c r="CW25" s="62" t="e">
        <f t="shared" si="7"/>
        <v>#N/A</v>
      </c>
      <c r="CX25" s="62" t="e">
        <f>VLOOKUP(CW25,Planilha3!$F$3:$H$18,3,0)</f>
        <v>#N/A</v>
      </c>
      <c r="CY25" s="63" t="e">
        <f t="shared" si="8"/>
        <v>#N/A</v>
      </c>
      <c r="CZ25" s="63" t="e">
        <f>VLOOKUP(CY25,Planilha3!$F$3:$H$18,3,0)</f>
        <v>#N/A</v>
      </c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Q25" s="58"/>
      <c r="DR25" s="58"/>
    </row>
    <row r="26" spans="1:122" ht="114" customHeight="1" x14ac:dyDescent="0.25">
      <c r="A26" s="69" t="s">
        <v>91</v>
      </c>
      <c r="B26" s="78"/>
      <c r="C26" s="78"/>
      <c r="D26" s="78"/>
      <c r="E26" s="78"/>
      <c r="F26" s="78"/>
      <c r="G26" s="78"/>
      <c r="H26" s="78"/>
      <c r="I26" s="78"/>
      <c r="J26" s="78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78"/>
      <c r="AB26" s="78"/>
      <c r="AC26" s="78"/>
      <c r="AD26" s="78"/>
      <c r="AE26" s="73"/>
      <c r="AF26" s="73"/>
      <c r="AG26" s="73"/>
      <c r="AH26" s="73"/>
      <c r="AI26" s="78"/>
      <c r="AJ26" s="78"/>
      <c r="AK26" s="78"/>
      <c r="AL26" s="78"/>
      <c r="AM26" s="79" t="str">
        <f t="shared" si="11"/>
        <v/>
      </c>
      <c r="AN26" s="79"/>
      <c r="AO26" s="79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1" t="str">
        <f t="shared" si="12"/>
        <v/>
      </c>
      <c r="BG26" s="82"/>
      <c r="BH26" s="83"/>
      <c r="BI26" s="85" t="str">
        <f>IF(P26="","",VLOOKUP(BF26,Planilha3!$F$3:$G$18,2,0))</f>
        <v/>
      </c>
      <c r="BJ26" s="85"/>
      <c r="BK26" s="85"/>
      <c r="BL26" s="85"/>
      <c r="BM26" s="86"/>
      <c r="BN26" s="86"/>
      <c r="BO26" s="86"/>
      <c r="BP26" s="86"/>
      <c r="BQ26" s="84" t="str">
        <f>LANÇAMENTOS!K21</f>
        <v>-</v>
      </c>
      <c r="BR26" s="84"/>
      <c r="BS26" s="84"/>
      <c r="BT26" s="84"/>
      <c r="BU26" s="84"/>
      <c r="BV26" s="77" t="str">
        <f>IF(P26="","",LANÇAMENTOS!N21)</f>
        <v/>
      </c>
      <c r="BW26" s="77"/>
      <c r="BX26" s="77"/>
      <c r="BY26" s="70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2"/>
      <c r="CL26" s="49"/>
      <c r="CM26" s="61" t="str">
        <f t="shared" si="4"/>
        <v/>
      </c>
      <c r="CN26" s="62">
        <f t="shared" si="5"/>
        <v>4</v>
      </c>
      <c r="CO26" s="62" t="e">
        <f>VLOOKUP(AP26,Planilha2!$C$4:$D$7,2,0)</f>
        <v>#N/A</v>
      </c>
      <c r="CP26" s="62" t="e">
        <f t="shared" si="6"/>
        <v>#N/A</v>
      </c>
      <c r="CQ26" s="62" t="str">
        <f>IFERROR(VLOOKUP(CP26,Planilha3!$F$3:$H$18,3,0),"")</f>
        <v/>
      </c>
      <c r="CR26" s="62"/>
      <c r="CS26" s="62"/>
      <c r="CT26" s="62" t="e">
        <f>VLOOKUP(AU26,Planilha2!$C$10:$D$13,2,0)</f>
        <v>#N/A</v>
      </c>
      <c r="CU26" s="62"/>
      <c r="CV26" s="62" t="e">
        <f>VLOOKUP(AZ26,Planilha2!$E$4:$F$7,2,0)</f>
        <v>#N/A</v>
      </c>
      <c r="CW26" s="62" t="e">
        <f t="shared" si="7"/>
        <v>#N/A</v>
      </c>
      <c r="CX26" s="62" t="e">
        <f>VLOOKUP(CW26,Planilha3!$F$3:$H$18,3,0)</f>
        <v>#N/A</v>
      </c>
      <c r="CY26" s="63" t="e">
        <f t="shared" si="8"/>
        <v>#N/A</v>
      </c>
      <c r="CZ26" s="63" t="e">
        <f>VLOOKUP(CY26,Planilha3!$F$3:$H$18,3,0)</f>
        <v>#N/A</v>
      </c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Q26" s="58"/>
      <c r="DR26" s="58"/>
    </row>
    <row r="27" spans="1:122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9"/>
      <c r="BW27" s="49"/>
      <c r="BX27" s="49"/>
      <c r="BY27" s="49"/>
      <c r="BZ27" s="49"/>
      <c r="CA27" s="49"/>
      <c r="CB27" s="49"/>
      <c r="CC27" s="49"/>
      <c r="CD27" s="49"/>
      <c r="CE27" s="49"/>
      <c r="CF27" s="49"/>
      <c r="CG27" s="49"/>
      <c r="CH27" s="49"/>
      <c r="CI27" s="49"/>
      <c r="CJ27" s="49"/>
      <c r="CK27" s="49"/>
      <c r="CL27" s="49"/>
      <c r="CM27" s="49"/>
      <c r="CN27" s="49"/>
      <c r="CO27" s="49"/>
      <c r="CP27" s="49"/>
      <c r="CQ27" s="49"/>
      <c r="CR27" s="49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</row>
    <row r="28" spans="1:122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</row>
  </sheetData>
  <sheetProtection algorithmName="SHA-512" hashValue="XeLI1bQBGmT5QwGbZ6Dg4w80oJnTqtIqC3IEprtjECzdB2LY6dYKJrmL/Lcmi/aO5MRFnO3v9sofpK/GG1vhKw==" saltValue="DbmEkUCR94Gb0EA8Xu7Erg==" spinCount="100000" sheet="1" objects="1" scenarios="1"/>
  <mergeCells count="343">
    <mergeCell ref="BF25:BH25"/>
    <mergeCell ref="BF26:BH26"/>
    <mergeCell ref="AZ19:BE19"/>
    <mergeCell ref="AZ20:BE20"/>
    <mergeCell ref="AZ21:BE21"/>
    <mergeCell ref="AZ22:BE22"/>
    <mergeCell ref="AZ23:BE23"/>
    <mergeCell ref="AZ24:BE24"/>
    <mergeCell ref="AZ25:BE25"/>
    <mergeCell ref="AZ26:BE26"/>
    <mergeCell ref="AU25:AY25"/>
    <mergeCell ref="AU26:AY26"/>
    <mergeCell ref="AP19:AT19"/>
    <mergeCell ref="AP20:AT20"/>
    <mergeCell ref="AP21:AT21"/>
    <mergeCell ref="AP22:AT22"/>
    <mergeCell ref="AP23:AT23"/>
    <mergeCell ref="AP24:AT24"/>
    <mergeCell ref="AP25:AT25"/>
    <mergeCell ref="AP26:AT26"/>
    <mergeCell ref="AM25:AO25"/>
    <mergeCell ref="AM26:AO26"/>
    <mergeCell ref="BV19:BX19"/>
    <mergeCell ref="BV20:BX20"/>
    <mergeCell ref="BV21:BX21"/>
    <mergeCell ref="BV22:BX22"/>
    <mergeCell ref="BV23:BX23"/>
    <mergeCell ref="BV24:BX24"/>
    <mergeCell ref="BV25:BX25"/>
    <mergeCell ref="BV26:BX26"/>
    <mergeCell ref="BM19:BP19"/>
    <mergeCell ref="BM20:BP20"/>
    <mergeCell ref="BM21:BP21"/>
    <mergeCell ref="BM22:BP22"/>
    <mergeCell ref="BM23:BP23"/>
    <mergeCell ref="BM24:BP24"/>
    <mergeCell ref="BM25:BP25"/>
    <mergeCell ref="BM26:BP26"/>
    <mergeCell ref="BQ19:BU19"/>
    <mergeCell ref="BQ20:BU20"/>
    <mergeCell ref="BQ21:BU21"/>
    <mergeCell ref="BQ22:BU22"/>
    <mergeCell ref="AU19:AY19"/>
    <mergeCell ref="AU20:AY20"/>
    <mergeCell ref="BQ23:BU23"/>
    <mergeCell ref="BQ24:BU24"/>
    <mergeCell ref="BQ25:BU25"/>
    <mergeCell ref="BQ26:BU26"/>
    <mergeCell ref="AI19:AL19"/>
    <mergeCell ref="AI20:AL20"/>
    <mergeCell ref="AI21:AL21"/>
    <mergeCell ref="AI22:AL22"/>
    <mergeCell ref="AI23:AL23"/>
    <mergeCell ref="AI24:AL24"/>
    <mergeCell ref="AI25:AL25"/>
    <mergeCell ref="AI26:AL26"/>
    <mergeCell ref="BI19:BL19"/>
    <mergeCell ref="BI20:BL20"/>
    <mergeCell ref="BI21:BL21"/>
    <mergeCell ref="BI22:BL22"/>
    <mergeCell ref="BI23:BL23"/>
    <mergeCell ref="BI24:BL24"/>
    <mergeCell ref="BI25:BL25"/>
    <mergeCell ref="BI26:BL26"/>
    <mergeCell ref="AM19:AO19"/>
    <mergeCell ref="AM20:AO20"/>
    <mergeCell ref="AM21:AO21"/>
    <mergeCell ref="AM22:AO22"/>
    <mergeCell ref="AA25:AD25"/>
    <mergeCell ref="AA26:AD26"/>
    <mergeCell ref="AE19:AH19"/>
    <mergeCell ref="AE20:AH20"/>
    <mergeCell ref="AE21:AH21"/>
    <mergeCell ref="AE22:AH22"/>
    <mergeCell ref="AE23:AH23"/>
    <mergeCell ref="AE24:AH24"/>
    <mergeCell ref="AE25:AH25"/>
    <mergeCell ref="AE26:AH26"/>
    <mergeCell ref="AA19:AD19"/>
    <mergeCell ref="AA20:AD20"/>
    <mergeCell ref="AA21:AD21"/>
    <mergeCell ref="AA22:AD22"/>
    <mergeCell ref="AA23:AD23"/>
    <mergeCell ref="AA24:AD24"/>
    <mergeCell ref="P25:V25"/>
    <mergeCell ref="P26:V26"/>
    <mergeCell ref="W19:Z19"/>
    <mergeCell ref="W20:Z20"/>
    <mergeCell ref="W21:Z21"/>
    <mergeCell ref="W22:Z22"/>
    <mergeCell ref="W23:Z23"/>
    <mergeCell ref="W24:Z24"/>
    <mergeCell ref="W25:Z25"/>
    <mergeCell ref="W26:Z26"/>
    <mergeCell ref="P19:V19"/>
    <mergeCell ref="P20:V20"/>
    <mergeCell ref="P21:V21"/>
    <mergeCell ref="P22:V22"/>
    <mergeCell ref="P23:V23"/>
    <mergeCell ref="P24:V24"/>
    <mergeCell ref="B19:J19"/>
    <mergeCell ref="B20:J20"/>
    <mergeCell ref="B21:J21"/>
    <mergeCell ref="B22:J22"/>
    <mergeCell ref="B23:J23"/>
    <mergeCell ref="B24:J24"/>
    <mergeCell ref="B25:J25"/>
    <mergeCell ref="B26:J26"/>
    <mergeCell ref="K19:O19"/>
    <mergeCell ref="K20:O20"/>
    <mergeCell ref="K21:O21"/>
    <mergeCell ref="K22:O22"/>
    <mergeCell ref="K23:O23"/>
    <mergeCell ref="K24:O24"/>
    <mergeCell ref="K25:O25"/>
    <mergeCell ref="K26:O26"/>
    <mergeCell ref="BI17:BL17"/>
    <mergeCell ref="BM17:BP17"/>
    <mergeCell ref="BQ17:BU17"/>
    <mergeCell ref="BV17:BX17"/>
    <mergeCell ref="BY17:CK17"/>
    <mergeCell ref="AU18:AY18"/>
    <mergeCell ref="AZ18:BE18"/>
    <mergeCell ref="BF18:BH18"/>
    <mergeCell ref="BI18:BL18"/>
    <mergeCell ref="BM18:BP18"/>
    <mergeCell ref="BQ18:BU18"/>
    <mergeCell ref="BV18:BX18"/>
    <mergeCell ref="AU17:AY17"/>
    <mergeCell ref="AZ17:BE17"/>
    <mergeCell ref="BF17:BH17"/>
    <mergeCell ref="AM23:AO23"/>
    <mergeCell ref="AM24:AO24"/>
    <mergeCell ref="AU21:AY21"/>
    <mergeCell ref="AU22:AY22"/>
    <mergeCell ref="AU23:AY23"/>
    <mergeCell ref="AU24:AY24"/>
    <mergeCell ref="BF19:BH19"/>
    <mergeCell ref="BF20:BH20"/>
    <mergeCell ref="BF21:BH21"/>
    <mergeCell ref="BF22:BH22"/>
    <mergeCell ref="BF23:BH23"/>
    <mergeCell ref="BF24:BH24"/>
    <mergeCell ref="B18:J18"/>
    <mergeCell ref="K18:O18"/>
    <mergeCell ref="P18:V18"/>
    <mergeCell ref="W18:Z18"/>
    <mergeCell ref="AA18:AD18"/>
    <mergeCell ref="AE18:AH18"/>
    <mergeCell ref="AI18:AL18"/>
    <mergeCell ref="AM18:AO18"/>
    <mergeCell ref="AP18:AT18"/>
    <mergeCell ref="B17:J17"/>
    <mergeCell ref="K17:O17"/>
    <mergeCell ref="P17:V17"/>
    <mergeCell ref="W17:Z17"/>
    <mergeCell ref="AA17:AD17"/>
    <mergeCell ref="AE17:AH17"/>
    <mergeCell ref="AI17:AL17"/>
    <mergeCell ref="AM17:AO17"/>
    <mergeCell ref="AP17:AT17"/>
    <mergeCell ref="CT7:CW7"/>
    <mergeCell ref="BI7:BL8"/>
    <mergeCell ref="BI9:BL9"/>
    <mergeCell ref="BM7:BP8"/>
    <mergeCell ref="AP7:AT8"/>
    <mergeCell ref="AP9:AT9"/>
    <mergeCell ref="AU7:AY8"/>
    <mergeCell ref="AU9:AY9"/>
    <mergeCell ref="BY7:CK8"/>
    <mergeCell ref="BY9:CK9"/>
    <mergeCell ref="BQ7:BU8"/>
    <mergeCell ref="BQ9:BU9"/>
    <mergeCell ref="AZ7:BE8"/>
    <mergeCell ref="AZ9:BE9"/>
    <mergeCell ref="A1:CO3"/>
    <mergeCell ref="BA4:BB5"/>
    <mergeCell ref="BD4:BJ4"/>
    <mergeCell ref="BD5:BJ5"/>
    <mergeCell ref="W7:Z8"/>
    <mergeCell ref="W9:Z9"/>
    <mergeCell ref="P7:V8"/>
    <mergeCell ref="P9:V9"/>
    <mergeCell ref="B7:J8"/>
    <mergeCell ref="K7:O8"/>
    <mergeCell ref="AE7:AH8"/>
    <mergeCell ref="AA7:AD8"/>
    <mergeCell ref="AA9:AD9"/>
    <mergeCell ref="AE9:AH9"/>
    <mergeCell ref="BM9:BP9"/>
    <mergeCell ref="BV7:BX8"/>
    <mergeCell ref="BV9:BX9"/>
    <mergeCell ref="BF7:BH8"/>
    <mergeCell ref="AM9:AO9"/>
    <mergeCell ref="CF5:CK5"/>
    <mergeCell ref="BY5:CB5"/>
    <mergeCell ref="CC5:CE5"/>
    <mergeCell ref="B10:J10"/>
    <mergeCell ref="K10:O10"/>
    <mergeCell ref="P10:V10"/>
    <mergeCell ref="W10:Z10"/>
    <mergeCell ref="AA10:AD10"/>
    <mergeCell ref="BK4:BX4"/>
    <mergeCell ref="BK5:BX5"/>
    <mergeCell ref="BZ4:CO4"/>
    <mergeCell ref="A4:C4"/>
    <mergeCell ref="A5:C5"/>
    <mergeCell ref="AC4:AU4"/>
    <mergeCell ref="AC5:AU5"/>
    <mergeCell ref="D4:X4"/>
    <mergeCell ref="D5:X5"/>
    <mergeCell ref="AW4:AZ5"/>
    <mergeCell ref="Z4:AB4"/>
    <mergeCell ref="Z5:AB5"/>
    <mergeCell ref="B9:J9"/>
    <mergeCell ref="K9:O9"/>
    <mergeCell ref="AI9:AL9"/>
    <mergeCell ref="BF9:BH9"/>
    <mergeCell ref="AI7:AL8"/>
    <mergeCell ref="AM7:AO8"/>
    <mergeCell ref="BY10:CK10"/>
    <mergeCell ref="BV11:BX11"/>
    <mergeCell ref="AE11:AH11"/>
    <mergeCell ref="AI11:AL11"/>
    <mergeCell ref="AM11:AO11"/>
    <mergeCell ref="AP11:AT11"/>
    <mergeCell ref="AU11:AY11"/>
    <mergeCell ref="BQ11:BU11"/>
    <mergeCell ref="BF10:BH10"/>
    <mergeCell ref="BI10:BL10"/>
    <mergeCell ref="BM10:BP10"/>
    <mergeCell ref="BV10:BX10"/>
    <mergeCell ref="AE10:AH10"/>
    <mergeCell ref="AI10:AL10"/>
    <mergeCell ref="AM10:AO10"/>
    <mergeCell ref="AP10:AT10"/>
    <mergeCell ref="AU10:AY10"/>
    <mergeCell ref="BQ10:BU10"/>
    <mergeCell ref="AZ10:BE10"/>
    <mergeCell ref="BF11:BH11"/>
    <mergeCell ref="BI11:BL11"/>
    <mergeCell ref="BM11:BP11"/>
    <mergeCell ref="B11:J11"/>
    <mergeCell ref="K11:O11"/>
    <mergeCell ref="P11:V11"/>
    <mergeCell ref="W11:Z11"/>
    <mergeCell ref="AA11:AD11"/>
    <mergeCell ref="BF12:BH12"/>
    <mergeCell ref="BI12:BL12"/>
    <mergeCell ref="BM12:BP12"/>
    <mergeCell ref="AZ11:BE11"/>
    <mergeCell ref="BV12:BX12"/>
    <mergeCell ref="AE12:AH12"/>
    <mergeCell ref="AI12:AL12"/>
    <mergeCell ref="AM12:AO12"/>
    <mergeCell ref="AP12:AT12"/>
    <mergeCell ref="AU12:AY12"/>
    <mergeCell ref="BQ12:BU12"/>
    <mergeCell ref="AZ12:BE12"/>
    <mergeCell ref="B12:J12"/>
    <mergeCell ref="K12:O12"/>
    <mergeCell ref="P12:V12"/>
    <mergeCell ref="W12:Z12"/>
    <mergeCell ref="AA12:AD12"/>
    <mergeCell ref="B15:J15"/>
    <mergeCell ref="K15:O15"/>
    <mergeCell ref="P15:V15"/>
    <mergeCell ref="W15:Z15"/>
    <mergeCell ref="AI14:AL14"/>
    <mergeCell ref="AM14:AO14"/>
    <mergeCell ref="AP14:AT14"/>
    <mergeCell ref="AU14:AY14"/>
    <mergeCell ref="BF14:BH14"/>
    <mergeCell ref="B14:J14"/>
    <mergeCell ref="P14:V14"/>
    <mergeCell ref="W14:Z14"/>
    <mergeCell ref="AA14:AD14"/>
    <mergeCell ref="AE14:AH14"/>
    <mergeCell ref="K14:O14"/>
    <mergeCell ref="AZ14:BE14"/>
    <mergeCell ref="AZ15:BE15"/>
    <mergeCell ref="B16:J16"/>
    <mergeCell ref="K16:O16"/>
    <mergeCell ref="P16:V16"/>
    <mergeCell ref="W16:Z16"/>
    <mergeCell ref="AA16:AD16"/>
    <mergeCell ref="AE16:AH16"/>
    <mergeCell ref="AP13:AT13"/>
    <mergeCell ref="AU13:AY13"/>
    <mergeCell ref="BF13:BH13"/>
    <mergeCell ref="B13:J13"/>
    <mergeCell ref="K13:O13"/>
    <mergeCell ref="P13:V13"/>
    <mergeCell ref="W13:Z13"/>
    <mergeCell ref="AA13:AD13"/>
    <mergeCell ref="AE13:AH13"/>
    <mergeCell ref="AI13:AL13"/>
    <mergeCell ref="AM13:AO13"/>
    <mergeCell ref="BF15:BH15"/>
    <mergeCell ref="AA15:AD15"/>
    <mergeCell ref="AE15:AH15"/>
    <mergeCell ref="AI15:AL15"/>
    <mergeCell ref="AM15:AO15"/>
    <mergeCell ref="AP15:AT15"/>
    <mergeCell ref="AU15:AY15"/>
    <mergeCell ref="BV16:BX16"/>
    <mergeCell ref="AI16:AL16"/>
    <mergeCell ref="AM16:AO16"/>
    <mergeCell ref="AP16:AT16"/>
    <mergeCell ref="AU16:AY16"/>
    <mergeCell ref="BF16:BH16"/>
    <mergeCell ref="BQ16:BU16"/>
    <mergeCell ref="AZ16:BE16"/>
    <mergeCell ref="BI13:BL13"/>
    <mergeCell ref="BM13:BP13"/>
    <mergeCell ref="BI16:BL16"/>
    <mergeCell ref="BM16:BP16"/>
    <mergeCell ref="BI15:BL15"/>
    <mergeCell ref="BM15:BP15"/>
    <mergeCell ref="BV15:BX15"/>
    <mergeCell ref="BI14:BL14"/>
    <mergeCell ref="BM14:BP14"/>
    <mergeCell ref="BV14:BX14"/>
    <mergeCell ref="BV13:BX13"/>
    <mergeCell ref="BQ13:BU13"/>
    <mergeCell ref="BQ14:BU14"/>
    <mergeCell ref="BQ15:BU15"/>
    <mergeCell ref="AZ13:BE13"/>
    <mergeCell ref="BY19:CK19"/>
    <mergeCell ref="BY20:CK20"/>
    <mergeCell ref="BY21:CK21"/>
    <mergeCell ref="BY22:CK22"/>
    <mergeCell ref="BY23:CK23"/>
    <mergeCell ref="BY24:CK24"/>
    <mergeCell ref="BY25:CK25"/>
    <mergeCell ref="BY26:CK26"/>
    <mergeCell ref="BY11:CK11"/>
    <mergeCell ref="BY12:CK12"/>
    <mergeCell ref="BY13:CK13"/>
    <mergeCell ref="BY14:CK14"/>
    <mergeCell ref="BY16:CK16"/>
    <mergeCell ref="BY15:CK15"/>
    <mergeCell ref="BY18:CK18"/>
  </mergeCells>
  <conditionalFormatting sqref="BI9:BI26">
    <cfRule type="containsText" dxfId="42" priority="48" operator="containsText" text="CRÍTICO">
      <formula>NOT(ISERROR(SEARCH("CRÍTICO",BI9)))</formula>
    </cfRule>
    <cfRule type="containsText" dxfId="41" priority="49" operator="containsText" text="IRRELEVANTE">
      <formula>NOT(ISERROR(SEARCH("IRRELEVANTE",BI9)))</formula>
    </cfRule>
    <cfRule type="containsText" dxfId="40" priority="50" operator="containsText" text="ALTO">
      <formula>NOT(ISERROR(SEARCH("ALTO",BI9)))</formula>
    </cfRule>
    <cfRule type="containsText" dxfId="39" priority="51" operator="containsText" text="MÉDIO">
      <formula>NOT(ISERROR(SEARCH("MÉDIO",BI9)))</formula>
    </cfRule>
    <cfRule type="containsText" dxfId="38" priority="52" operator="containsText" text="BAIXO">
      <formula>NOT(ISERROR(SEARCH("BAIXO",BI9)))</formula>
    </cfRule>
  </conditionalFormatting>
  <conditionalFormatting sqref="BV9:BV26">
    <cfRule type="containsText" dxfId="37" priority="10" operator="containsText" text="TRIMESTRAL (P1)">
      <formula>NOT(ISERROR(SEARCH("TRIMESTRAL (P1)",BV9)))</formula>
    </cfRule>
    <cfRule type="containsText" dxfId="36" priority="11" operator="containsText" text="MONITORAMENTO PERIÓDICO NÃO NECESSÁRIO">
      <formula>NOT(ISERROR(SEARCH("MONITORAMENTO PERIÓDICO NÃO NECESSÁRIO",BV9)))</formula>
    </cfRule>
    <cfRule type="containsText" dxfId="35" priority="12" operator="containsText" text="MONITORAR E MANTER CONTROLE (P1)">
      <formula>NOT(ISERROR(SEARCH("MONITORAR E MANTER CONTROLE (P1)",BV9)))</formula>
    </cfRule>
    <cfRule type="containsText" dxfId="34" priority="13" operator="containsText" text="SEMESTRAL (P1)">
      <formula>NOT(ISERROR(SEARCH("SEMESTRAL (P1)",BV9)))</formula>
    </cfRule>
    <cfRule type="containsText" dxfId="33" priority="14" operator="containsText" text="ANUAL (P2)">
      <formula>NOT(ISERROR(SEARCH("ANUAL (P2)",BV9)))</formula>
    </cfRule>
    <cfRule type="containsText" dxfId="32" priority="15" operator="containsText" text="ANUAL (P1)">
      <formula>NOT(ISERROR(SEARCH("ANUAL (P1)",BV9)))</formula>
    </cfRule>
  </conditionalFormatting>
  <conditionalFormatting sqref="BV9:BX26">
    <cfRule type="containsText" dxfId="31" priority="4" operator="containsText" text="MONITORAR IMEDIATAMENTE APÓS ADOTAR MEDIDAS DE CONTROLE (P1)">
      <formula>NOT(ISERROR(SEARCH("MONITORAR IMEDIATAMENTE APÓS ADOTAR MEDIDAS DE CONTROLE (P1)",BV9)))</formula>
    </cfRule>
    <cfRule type="containsText" dxfId="30" priority="5" operator="containsText" text="MONITORAR APÓS ADOTAR MEDIDAS DE CONTROLE (P1)">
      <formula>NOT(ISERROR(SEARCH("MONITORAR APÓS ADOTAR MEDIDAS DE CONTROLE (P1)",BV9)))</formula>
    </cfRule>
  </conditionalFormatting>
  <conditionalFormatting sqref="CF5">
    <cfRule type="containsText" dxfId="29" priority="1" operator="containsText" text="RUIM">
      <formula>NOT(ISERROR(SEARCH("RUIM",CF5)))</formula>
    </cfRule>
    <cfRule type="containsText" dxfId="28" priority="2" operator="containsText" text="REGULAR">
      <formula>NOT(ISERROR(SEARCH("REGULAR",CF5)))</formula>
    </cfRule>
    <cfRule type="containsText" dxfId="27" priority="3" operator="containsText" text="BOA">
      <formula>NOT(ISERROR(SEARCH("BOA",CF5)))</formula>
    </cfRule>
  </conditionalFormatting>
  <dataValidations count="2">
    <dataValidation type="list" allowBlank="1" showInputMessage="1" showErrorMessage="1" sqref="AA9:AD26" xr:uid="{2BD32AF6-A012-4AA3-8633-3B2E827F97F1}">
      <formula1>"Qualitativa,Quantitativa,Semiquantitativa"</formula1>
    </dataValidation>
    <dataValidation type="list" allowBlank="1" showInputMessage="1" showErrorMessage="1" sqref="W9:Z26" xr:uid="{9069576B-7372-4E03-8CFB-8023BBB9E87D}">
      <formula1>INDIRECT(P9)</formula1>
    </dataValidation>
  </dataValidations>
  <pageMargins left="0.511811024" right="0.511811024" top="0.78740157499999996" bottom="0.78740157499999996" header="0.31496062000000002" footer="0.31496062000000002"/>
  <pageSetup paperSize="9" scale="38" fitToHeight="0" orientation="landscape" r:id="rId1"/>
  <colBreaks count="2" manualBreakCount="2">
    <brk id="95" max="52" man="1"/>
    <brk id="103" max="52" man="1"/>
  </colBreaks>
  <ignoredErrors>
    <ignoredError sqref="CL9:CW26 CZ9:CZ26" evalError="1"/>
    <ignoredError sqref="CX9:CY26" evalError="1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9251856-BCEE-4441-BE63-75DBE21CE6EA}">
          <x14:formula1>
            <xm:f>Planilha2!$C$4:$C$7</xm:f>
          </x14:formula1>
          <xm:sqref>AP9:AT9 AP10:AP26</xm:sqref>
        </x14:dataValidation>
        <x14:dataValidation type="list" allowBlank="1" showInputMessage="1" showErrorMessage="1" xr:uid="{B75E76C4-373D-428F-8D89-7C860EDBA5EE}">
          <x14:formula1>
            <xm:f>Planilha2!$E$4:$E$7</xm:f>
          </x14:formula1>
          <xm:sqref>AZ9:AZ26</xm:sqref>
        </x14:dataValidation>
        <x14:dataValidation type="list" allowBlank="1" showInputMessage="1" showErrorMessage="1" xr:uid="{DBEC3FFB-EAE3-4228-9405-E2CFDD5C935D}">
          <x14:formula1>
            <xm:f>INCERTEZA!$G$3:$G$5</xm:f>
          </x14:formula1>
          <xm:sqref>BM9:BP26</xm:sqref>
        </x14:dataValidation>
        <x14:dataValidation type="list" allowBlank="1" showInputMessage="1" showErrorMessage="1" xr:uid="{A45D6DD7-5EA9-48F5-8357-68BF0EA86C52}">
          <x14:formula1>
            <xm:f>Planilha2!$C$10:$C$13</xm:f>
          </x14:formula1>
          <xm:sqref>AU9:AU26</xm:sqref>
        </x14:dataValidation>
        <x14:dataValidation type="list" allowBlank="1" showInputMessage="1" showErrorMessage="1" xr:uid="{EFCDB0A6-6905-449C-93AC-85CE6B06CEF3}">
          <x14:formula1>
            <xm:f>Planilha11!$A$1:$E$1</xm:f>
          </x14:formula1>
          <xm:sqref>P10:P26 P9:V9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B8C28-CF1B-4E8C-B3F0-B2C690B14230}">
  <sheetPr>
    <tabColor rgb="FFFF0000"/>
  </sheetPr>
  <dimension ref="A1:Z183"/>
  <sheetViews>
    <sheetView topLeftCell="L1" workbookViewId="0">
      <selection activeCell="O3" sqref="O3:Z7"/>
    </sheetView>
  </sheetViews>
  <sheetFormatPr defaultColWidth="8.7109375" defaultRowHeight="14.25" x14ac:dyDescent="0.2"/>
  <cols>
    <col min="1" max="1" width="8.5703125" style="20" bestFit="1" customWidth="1"/>
    <col min="2" max="2" width="13.85546875" style="20" customWidth="1"/>
    <col min="3" max="3" width="13.7109375" style="20" customWidth="1"/>
    <col min="4" max="4" width="12.5703125" style="20" customWidth="1"/>
    <col min="5" max="6" width="13.42578125" style="20" customWidth="1"/>
    <col min="7" max="8" width="8.7109375" style="20"/>
    <col min="9" max="10" width="14.7109375" style="17" bestFit="1" customWidth="1"/>
    <col min="11" max="11" width="10.7109375" style="17" bestFit="1" customWidth="1"/>
    <col min="12" max="12" width="15.85546875" style="17" bestFit="1" customWidth="1"/>
    <col min="13" max="13" width="15.85546875" style="17" customWidth="1"/>
    <col min="14" max="14" width="14.5703125" style="17" customWidth="1"/>
    <col min="15" max="15" width="14.7109375" style="17" bestFit="1" customWidth="1"/>
    <col min="16" max="16" width="12.42578125" style="17" customWidth="1"/>
    <col min="17" max="17" width="13.42578125" style="17" bestFit="1" customWidth="1"/>
    <col min="18" max="18" width="12.5703125" style="17" customWidth="1"/>
    <col min="19" max="22" width="8.7109375" style="17"/>
    <col min="23" max="23" width="12.85546875" style="17" bestFit="1" customWidth="1"/>
    <col min="24" max="24" width="8.7109375" style="20"/>
    <col min="25" max="16384" width="8.7109375" style="17"/>
  </cols>
  <sheetData>
    <row r="1" spans="1:26" ht="14.65" customHeight="1" thickBot="1" x14ac:dyDescent="0.25">
      <c r="H1" s="17"/>
    </row>
    <row r="2" spans="1:26" s="20" customFormat="1" ht="15.75" thickBot="1" x14ac:dyDescent="0.3">
      <c r="H2" s="44" t="s">
        <v>92</v>
      </c>
      <c r="I2" s="45"/>
      <c r="J2" s="116" t="s">
        <v>93</v>
      </c>
      <c r="K2" s="117"/>
      <c r="L2" s="118" t="s">
        <v>43</v>
      </c>
      <c r="M2" s="119"/>
      <c r="N2" s="120"/>
    </row>
    <row r="3" spans="1:26" s="23" customFormat="1" ht="45.4" customHeight="1" thickBot="1" x14ac:dyDescent="0.3">
      <c r="A3" s="21" t="s">
        <v>94</v>
      </c>
      <c r="B3" s="21" t="s">
        <v>30</v>
      </c>
      <c r="C3" s="21" t="s">
        <v>95</v>
      </c>
      <c r="D3" s="21" t="s">
        <v>96</v>
      </c>
      <c r="E3" s="22" t="s">
        <v>97</v>
      </c>
      <c r="F3" s="51"/>
      <c r="H3" s="25" t="s">
        <v>53</v>
      </c>
      <c r="I3" s="24" t="s">
        <v>98</v>
      </c>
      <c r="J3" s="24" t="s">
        <v>99</v>
      </c>
      <c r="K3" s="24" t="s">
        <v>42</v>
      </c>
      <c r="L3" s="24" t="s">
        <v>100</v>
      </c>
      <c r="M3" s="24" t="s">
        <v>101</v>
      </c>
      <c r="N3" s="24" t="s">
        <v>98</v>
      </c>
      <c r="O3" s="121" t="s">
        <v>193</v>
      </c>
      <c r="P3" s="122"/>
      <c r="W3" s="23" t="s">
        <v>195</v>
      </c>
      <c r="X3" s="23">
        <v>25</v>
      </c>
    </row>
    <row r="4" spans="1:26" s="28" customFormat="1" ht="48" customHeight="1" thickBot="1" x14ac:dyDescent="0.3">
      <c r="A4" s="26" t="s">
        <v>102</v>
      </c>
      <c r="B4" s="27" t="s">
        <v>103</v>
      </c>
      <c r="C4" s="27" t="s">
        <v>104</v>
      </c>
      <c r="D4" s="27" t="s">
        <v>105</v>
      </c>
      <c r="E4" s="27" t="s">
        <v>106</v>
      </c>
      <c r="F4" s="52"/>
      <c r="H4" s="29" t="str">
        <f>AEP!BF9</f>
        <v/>
      </c>
      <c r="I4" s="30" t="str">
        <f>AEP!BI9</f>
        <v/>
      </c>
      <c r="J4" s="31">
        <f>AEP!BM9</f>
        <v>0</v>
      </c>
      <c r="K4" s="32" t="str">
        <f>IF(AND(I4=INCERTEZA!$B$3,J4=INCERTEZA!$C$3),INCERTEZA!$D$3,IF(AND(I4=INCERTEZA!$B$4,J4=INCERTEZA!$C$4),INCERTEZA!$D$4,IF(AND(I4=INCERTEZA!$B$5,J4=INCERTEZA!$C$5),INCERTEZA!$D$5,IF(AND(I4=INCERTEZA!$B$6,J4=INCERTEZA!$C$6),INCERTEZA!$D$6,IF(AND(I4=INCERTEZA!$B$7,J4=INCERTEZA!$C$7),INCERTEZA!$D$7,IF(AND(I4=INCERTEZA!$B$8,J4=INCERTEZA!$C$8),INCERTEZA!$D$8,IF(AND(I4=INCERTEZA!$B$9,J4=INCERTEZA!$C$9),INCERTEZA!$D$9,IF(AND(I4=INCERTEZA!$B$10,J4=INCERTEZA!$C$10),INCERTEZA!$D$10,IF(AND(I4=INCERTEZA!$B$11,J4=INCERTEZA!$C$11),INCERTEZA!$D$11,IF(AND(I4=INCERTEZA!$B$12,J4=INCERTEZA!$C$12),INCERTEZA!$D$12,IF(AND(I4=INCERTEZA!$B$13,J4=INCERTEZA!$C$13),INCERTEZA!$D$13,IF(AND(I4=INCERTEZA!$B$14,J4=INCERTEZA!$C$14),INCERTEZA!$D$14,IF(AND(I4=INCERTEZA!$B$15,J4=INCERTEZA!$C$15),INCERTEZA!$D$15,IF(AND(I4=INCERTEZA!$B$16,J4=INCERTEZA!$C$16),INCERTEZA!$D$16,IF(AND(I4=INCERTEZA!$B$17,J4=INCERTEZA!$C$17),INCERTEZA!$D$17,"-")))))))))))))))</f>
        <v>-</v>
      </c>
      <c r="L4" s="33" t="e">
        <f>AEP!CX9</f>
        <v>#N/A</v>
      </c>
      <c r="M4" s="34" t="e">
        <f>AEP!CO9</f>
        <v>#N/A</v>
      </c>
      <c r="N4" s="55" t="e">
        <f>IF(AND(L4=monitoramento!$C$4,M4=monitoramento!$D$4),monitoramento!$E$4,IF(AND(L4=monitoramento!$C$5,M4=monitoramento!$D$5),monitoramento!$E$5,IF(AND(L4=monitoramento!$C$6,M4=monitoramento!$D$6),monitoramento!$E$6,IF(AND(L4=monitoramento!$C$7,M4=monitoramento!$D$7),monitoramento!$E$7,IF(AND(L4=monitoramento!$C$8,M4=monitoramento!$D$8),monitoramento!$E$8,IF(AND(L4=monitoramento!$C$9,M4=monitoramento!$D$9),monitoramento!$E$9,IF(AND(L4=monitoramento!$C$10,M4=monitoramento!$D$10),monitoramento!$E$10,IF(AND(L4=monitoramento!$C$11,M4=monitoramento!$D$11),monitoramento!$E$11,IF(AND(L4=monitoramento!$C$12,M4=monitoramento!$D$12),monitoramento!$E$12,IF(AND(L4=monitoramento!$C$13,M4=monitoramento!$D$13),monitoramento!$E$13,IF(AND(L4=monitoramento!$C$14,M4=monitoramento!$D$14),monitoramento!$E$14,IF(AND(L4=monitoramento!$C$15,M4=monitoramento!$D$15),monitoramento!$E$15,IF(AND(L4=monitoramento!$C$16,M4=monitoramento!$D$16),monitoramento!$E$16,IF(AND(L4=monitoramento!$C$17,M4=monitoramento!$D$17),monitoramento!$E$17,IF(AND(L4=monitoramento!$C$18,M4=monitoramento!$D$18),monitoramento!$E$18,IF(AND(L4=monitoramento!$C$19,M4=monitoramento!$D$19),monitoramento!$E$19))))))))))))))))</f>
        <v>#N/A</v>
      </c>
      <c r="O4" s="64" t="e">
        <f>U7/T7</f>
        <v>#DIV/0!</v>
      </c>
      <c r="P4" s="28" t="e">
        <f>IF(Y5&gt;=50,"BOA",IF(Y5&gt;25,"REGULAR",IF(Y5&lt;25,"RUIM")))</f>
        <v>#DIV/0!</v>
      </c>
      <c r="S4" s="28" t="s">
        <v>12</v>
      </c>
      <c r="T4" s="28">
        <f>COUNTIF(I:I,S4)</f>
        <v>0</v>
      </c>
      <c r="U4" s="28">
        <f>T4*4</f>
        <v>0</v>
      </c>
      <c r="W4" s="23" t="s">
        <v>196</v>
      </c>
      <c r="X4" s="28">
        <v>100</v>
      </c>
    </row>
    <row r="5" spans="1:26" ht="25.9" customHeight="1" thickBot="1" x14ac:dyDescent="0.25">
      <c r="H5" s="29" t="str">
        <f>AEP!BF10</f>
        <v/>
      </c>
      <c r="I5" s="30" t="str">
        <f>AEP!BI10</f>
        <v/>
      </c>
      <c r="J5" s="31">
        <f>AEP!BM10</f>
        <v>0</v>
      </c>
      <c r="K5" s="32" t="str">
        <f>IF(AND(I5=INCERTEZA!$B$3,J5=INCERTEZA!$C$3),INCERTEZA!$D$3,IF(AND(I5=INCERTEZA!$B$4,J5=INCERTEZA!$C$4),INCERTEZA!$D$4,IF(AND(I5=INCERTEZA!$B$5,J5=INCERTEZA!$C$5),INCERTEZA!$D$5,IF(AND(I5=INCERTEZA!$B$6,J5=INCERTEZA!$C$6),INCERTEZA!$D$6,IF(AND(I5=INCERTEZA!$B$7,J5=INCERTEZA!$C$7),INCERTEZA!$D$7,IF(AND(I5=INCERTEZA!$B$8,J5=INCERTEZA!$C$8),INCERTEZA!$D$8,IF(AND(I5=INCERTEZA!$B$9,J5=INCERTEZA!$C$9),INCERTEZA!$D$9,IF(AND(I5=INCERTEZA!$B$10,J5=INCERTEZA!$C$10),INCERTEZA!$D$10,IF(AND(I5=INCERTEZA!$B$11,J5=INCERTEZA!$C$11),INCERTEZA!$D$11,IF(AND(I5=INCERTEZA!$B$12,J5=INCERTEZA!$C$12),INCERTEZA!$D$12,IF(AND(I5=INCERTEZA!$B$13,J5=INCERTEZA!$C$13),INCERTEZA!$D$13,IF(AND(I5=INCERTEZA!$B$14,J5=INCERTEZA!$C$14),INCERTEZA!$D$14,IF(AND(I5=INCERTEZA!$B$15,J5=INCERTEZA!$C$15),INCERTEZA!$D$15,IF(AND(I5=INCERTEZA!$B$16,J5=INCERTEZA!$C$16),INCERTEZA!$D$16,IF(AND(I5=INCERTEZA!$B$17,J5=INCERTEZA!$C$17),INCERTEZA!$D$17,"-")))))))))))))))</f>
        <v>-</v>
      </c>
      <c r="L5" s="33" t="e">
        <f>AEP!CX10</f>
        <v>#N/A</v>
      </c>
      <c r="M5" s="34" t="e">
        <f>AEP!CO10</f>
        <v>#N/A</v>
      </c>
      <c r="N5" s="55" t="e">
        <f>IF(AND(L5=monitoramento!$C$4,M5=monitoramento!$D$4),monitoramento!$E$4,IF(AND(L5=monitoramento!$C$5,M5=monitoramento!$D$5),monitoramento!$E$5,IF(AND(L5=monitoramento!$C$6,M5=monitoramento!$D$6),monitoramento!$E$6,IF(AND(L5=monitoramento!$C$7,M5=monitoramento!$D$7),monitoramento!$E$7,IF(AND(L5=monitoramento!$C$8,M5=monitoramento!$D$8),monitoramento!$E$8,IF(AND(L5=monitoramento!$C$9,M5=monitoramento!$D$9),monitoramento!$E$9,IF(AND(L5=monitoramento!$C$10,M5=monitoramento!$D$10),monitoramento!$E$10,IF(AND(L5=monitoramento!$C$11,M5=monitoramento!$D$11),monitoramento!$E$11,IF(AND(L5=monitoramento!$C$12,M5=monitoramento!$D$12),monitoramento!$E$12,IF(AND(L5=monitoramento!$C$13,M5=monitoramento!$D$13),monitoramento!$E$13,IF(AND(L5=monitoramento!$C$14,M5=monitoramento!$D$14),monitoramento!$E$14,IF(AND(L5=monitoramento!$C$15,M5=monitoramento!$D$15),monitoramento!$E$15,IF(AND(L5=monitoramento!$C$16,M5=monitoramento!$D$16),monitoramento!$E$16,IF(AND(L5=monitoramento!$C$17,M5=monitoramento!$D$17),monitoramento!$E$17,IF(AND(L5=monitoramento!$C$18,M5=monitoramento!$D$18),monitoramento!$E$18,IF(AND(L5=monitoramento!$C$19,M5=monitoramento!$D$19),monitoramento!$E$19))))))))))))))))</f>
        <v>#N/A</v>
      </c>
      <c r="O5" s="55"/>
      <c r="P5" s="55"/>
      <c r="S5" s="28" t="s">
        <v>8</v>
      </c>
      <c r="T5" s="28">
        <f>COUNTIF(I:I,S5)</f>
        <v>0</v>
      </c>
      <c r="U5" s="28">
        <f>T5*3</f>
        <v>0</v>
      </c>
      <c r="W5" s="23" t="s">
        <v>194</v>
      </c>
      <c r="X5" s="65" t="e">
        <f>O4*100</f>
        <v>#DIV/0!</v>
      </c>
      <c r="Y5" s="67" t="e">
        <f>(100/(X4-X3))*(X5-X3)</f>
        <v>#DIV/0!</v>
      </c>
    </row>
    <row r="6" spans="1:26" ht="15" thickBot="1" x14ac:dyDescent="0.25">
      <c r="H6" s="29" t="str">
        <f>AEP!BF11</f>
        <v/>
      </c>
      <c r="I6" s="30" t="str">
        <f>AEP!BI11</f>
        <v/>
      </c>
      <c r="J6" s="31">
        <f>AEP!BM11</f>
        <v>0</v>
      </c>
      <c r="K6" s="32" t="str">
        <f>IF(AND(I6=INCERTEZA!$B$3,J6=INCERTEZA!$C$3),INCERTEZA!$D$3,IF(AND(I6=INCERTEZA!$B$4,J6=INCERTEZA!$C$4),INCERTEZA!$D$4,IF(AND(I6=INCERTEZA!$B$5,J6=INCERTEZA!$C$5),INCERTEZA!$D$5,IF(AND(I6=INCERTEZA!$B$6,J6=INCERTEZA!$C$6),INCERTEZA!$D$6,IF(AND(I6=INCERTEZA!$B$7,J6=INCERTEZA!$C$7),INCERTEZA!$D$7,IF(AND(I6=INCERTEZA!$B$8,J6=INCERTEZA!$C$8),INCERTEZA!$D$8,IF(AND(I6=INCERTEZA!$B$9,J6=INCERTEZA!$C$9),INCERTEZA!$D$9,IF(AND(I6=INCERTEZA!$B$10,J6=INCERTEZA!$C$10),INCERTEZA!$D$10,IF(AND(I6=INCERTEZA!$B$11,J6=INCERTEZA!$C$11),INCERTEZA!$D$11,IF(AND(I6=INCERTEZA!$B$12,J6=INCERTEZA!$C$12),INCERTEZA!$D$12,IF(AND(I6=INCERTEZA!$B$13,J6=INCERTEZA!$C$13),INCERTEZA!$D$13,IF(AND(I6=INCERTEZA!$B$14,J6=INCERTEZA!$C$14),INCERTEZA!$D$14,IF(AND(I6=INCERTEZA!$B$15,J6=INCERTEZA!$C$15),INCERTEZA!$D$15,IF(AND(I6=INCERTEZA!$B$16,J6=INCERTEZA!$C$16),INCERTEZA!$D$16,IF(AND(I6=INCERTEZA!$B$17,J6=INCERTEZA!$C$17),INCERTEZA!$D$17,"-")))))))))))))))</f>
        <v>-</v>
      </c>
      <c r="L6" s="33" t="e">
        <f>AEP!CX11</f>
        <v>#N/A</v>
      </c>
      <c r="M6" s="34" t="e">
        <f>AEP!CO11</f>
        <v>#N/A</v>
      </c>
      <c r="N6" s="55" t="e">
        <f>IF(AND(L6=monitoramento!$C$4,M6=monitoramento!$D$4),monitoramento!$E$4,IF(AND(L6=monitoramento!$C$5,M6=monitoramento!$D$5),monitoramento!$E$5,IF(AND(L6=monitoramento!$C$6,M6=monitoramento!$D$6),monitoramento!$E$6,IF(AND(L6=monitoramento!$C$7,M6=monitoramento!$D$7),monitoramento!$E$7,IF(AND(L6=monitoramento!$C$8,M6=monitoramento!$D$8),monitoramento!$E$8,IF(AND(L6=monitoramento!$C$9,M6=monitoramento!$D$9),monitoramento!$E$9,IF(AND(L6=monitoramento!$C$10,M6=monitoramento!$D$10),monitoramento!$E$10,IF(AND(L6=monitoramento!$C$11,M6=monitoramento!$D$11),monitoramento!$E$11,IF(AND(L6=monitoramento!$C$12,M6=monitoramento!$D$12),monitoramento!$E$12,IF(AND(L6=monitoramento!$C$13,M6=monitoramento!$D$13),monitoramento!$E$13,IF(AND(L6=monitoramento!$C$14,M6=monitoramento!$D$14),monitoramento!$E$14,IF(AND(L6=monitoramento!$C$15,M6=monitoramento!$D$15),monitoramento!$E$15,IF(AND(L6=monitoramento!$C$16,M6=monitoramento!$D$16),monitoramento!$E$16,IF(AND(L6=monitoramento!$C$17,M6=monitoramento!$D$17),monitoramento!$E$17,IF(AND(L6=monitoramento!$C$18,M6=monitoramento!$D$18),monitoramento!$E$18,IF(AND(L6=monitoramento!$C$19,M6=monitoramento!$D$19),monitoramento!$E$19))))))))))))))))</f>
        <v>#N/A</v>
      </c>
      <c r="O6" s="55"/>
      <c r="P6" s="55"/>
      <c r="S6" s="28" t="s">
        <v>6</v>
      </c>
      <c r="T6" s="28">
        <f>COUNTIF(I:I,S6)</f>
        <v>0</v>
      </c>
      <c r="U6" s="28">
        <f>T6*1</f>
        <v>0</v>
      </c>
      <c r="W6" s="23"/>
      <c r="Y6" s="23"/>
    </row>
    <row r="7" spans="1:26" ht="55.9" customHeight="1" thickBot="1" x14ac:dyDescent="0.25">
      <c r="H7" s="29" t="str">
        <f>AEP!BF12</f>
        <v/>
      </c>
      <c r="I7" s="30" t="str">
        <f>AEP!BI12</f>
        <v/>
      </c>
      <c r="J7" s="31">
        <f>AEP!BM12</f>
        <v>0</v>
      </c>
      <c r="K7" s="32" t="str">
        <f>IF(AND(I7=INCERTEZA!$B$3,J7=INCERTEZA!$C$3),INCERTEZA!$D$3,IF(AND(I7=INCERTEZA!$B$4,J7=INCERTEZA!$C$4),INCERTEZA!$D$4,IF(AND(I7=INCERTEZA!$B$5,J7=INCERTEZA!$C$5),INCERTEZA!$D$5,IF(AND(I7=INCERTEZA!$B$6,J7=INCERTEZA!$C$6),INCERTEZA!$D$6,IF(AND(I7=INCERTEZA!$B$7,J7=INCERTEZA!$C$7),INCERTEZA!$D$7,IF(AND(I7=INCERTEZA!$B$8,J7=INCERTEZA!$C$8),INCERTEZA!$D$8,IF(AND(I7=INCERTEZA!$B$9,J7=INCERTEZA!$C$9),INCERTEZA!$D$9,IF(AND(I7=INCERTEZA!$B$10,J7=INCERTEZA!$C$10),INCERTEZA!$D$10,IF(AND(I7=INCERTEZA!$B$11,J7=INCERTEZA!$C$11),INCERTEZA!$D$11,IF(AND(I7=INCERTEZA!$B$12,J7=INCERTEZA!$C$12),INCERTEZA!$D$12,IF(AND(I7=INCERTEZA!$B$13,J7=INCERTEZA!$C$13),INCERTEZA!$D$13,IF(AND(I7=INCERTEZA!$B$14,J7=INCERTEZA!$C$14),INCERTEZA!$D$14,IF(AND(I7=INCERTEZA!$B$15,J7=INCERTEZA!$C$15),INCERTEZA!$D$15,IF(AND(I7=INCERTEZA!$B$16,J7=INCERTEZA!$C$16),INCERTEZA!$D$16,IF(AND(I7=INCERTEZA!$B$17,J7=INCERTEZA!$C$17),INCERTEZA!$D$17,"-")))))))))))))))</f>
        <v>-</v>
      </c>
      <c r="L7" s="33" t="e">
        <f>AEP!CX12</f>
        <v>#N/A</v>
      </c>
      <c r="M7" s="34" t="e">
        <f>AEP!CO12</f>
        <v>#N/A</v>
      </c>
      <c r="N7" s="55" t="e">
        <f>IF(AND(L7=monitoramento!$C$4,M7=monitoramento!$D$4),monitoramento!$E$4,IF(AND(L7=monitoramento!$C$5,M7=monitoramento!$D$5),monitoramento!$E$5,IF(AND(L7=monitoramento!$C$6,M7=monitoramento!$D$6),monitoramento!$E$6,IF(AND(L7=monitoramento!$C$7,M7=monitoramento!$D$7),monitoramento!$E$7,IF(AND(L7=monitoramento!$C$8,M7=monitoramento!$D$8),monitoramento!$E$8,IF(AND(L7=monitoramento!$C$9,M7=monitoramento!$D$9),monitoramento!$E$9,IF(AND(L7=monitoramento!$C$10,M7=monitoramento!$D$10),monitoramento!$E$10,IF(AND(L7=monitoramento!$C$11,M7=monitoramento!$D$11),monitoramento!$E$11,IF(AND(L7=monitoramento!$C$12,M7=monitoramento!$D$12),monitoramento!$E$12,IF(AND(L7=monitoramento!$C$13,M7=monitoramento!$D$13),monitoramento!$E$13,IF(AND(L7=monitoramento!$C$14,M7=monitoramento!$D$14),monitoramento!$E$14,IF(AND(L7=monitoramento!$C$15,M7=monitoramento!$D$15),monitoramento!$E$15,IF(AND(L7=monitoramento!$C$16,M7=monitoramento!$D$16),monitoramento!$E$16,IF(AND(L7=monitoramento!$C$17,M7=monitoramento!$D$17),monitoramento!$E$17,IF(AND(L7=monitoramento!$C$18,M7=monitoramento!$D$18),monitoramento!$E$18,IF(AND(L7=monitoramento!$C$19,M7=monitoramento!$D$19),monitoramento!$E$19))))))))))))))))</f>
        <v>#N/A</v>
      </c>
      <c r="O7" s="55"/>
      <c r="P7" s="55"/>
      <c r="S7" s="28"/>
      <c r="T7" s="28">
        <f>SUM(T4:T6)*4</f>
        <v>0</v>
      </c>
      <c r="U7" s="28">
        <f>SUM(U4:U6)</f>
        <v>0</v>
      </c>
      <c r="W7" s="66"/>
    </row>
    <row r="8" spans="1:26" ht="15" thickBot="1" x14ac:dyDescent="0.25">
      <c r="H8" s="29" t="str">
        <f>AEP!BF13</f>
        <v/>
      </c>
      <c r="I8" s="30" t="str">
        <f>AEP!BI13</f>
        <v/>
      </c>
      <c r="J8" s="31">
        <f>AEP!BM13</f>
        <v>0</v>
      </c>
      <c r="K8" s="32" t="str">
        <f>IF(AND(I8=INCERTEZA!$B$3,J8=INCERTEZA!$C$3),INCERTEZA!$D$3,IF(AND(I8=INCERTEZA!$B$4,J8=INCERTEZA!$C$4),INCERTEZA!$D$4,IF(AND(I8=INCERTEZA!$B$5,J8=INCERTEZA!$C$5),INCERTEZA!$D$5,IF(AND(I8=INCERTEZA!$B$6,J8=INCERTEZA!$C$6),INCERTEZA!$D$6,IF(AND(I8=INCERTEZA!$B$7,J8=INCERTEZA!$C$7),INCERTEZA!$D$7,IF(AND(I8=INCERTEZA!$B$8,J8=INCERTEZA!$C$8),INCERTEZA!$D$8,IF(AND(I8=INCERTEZA!$B$9,J8=INCERTEZA!$C$9),INCERTEZA!$D$9,IF(AND(I8=INCERTEZA!$B$10,J8=INCERTEZA!$C$10),INCERTEZA!$D$10,IF(AND(I8=INCERTEZA!$B$11,J8=INCERTEZA!$C$11),INCERTEZA!$D$11,IF(AND(I8=INCERTEZA!$B$12,J8=INCERTEZA!$C$12),INCERTEZA!$D$12,IF(AND(I8=INCERTEZA!$B$13,J8=INCERTEZA!$C$13),INCERTEZA!$D$13,IF(AND(I8=INCERTEZA!$B$14,J8=INCERTEZA!$C$14),INCERTEZA!$D$14,IF(AND(I8=INCERTEZA!$B$15,J8=INCERTEZA!$C$15),INCERTEZA!$D$15,IF(AND(I8=INCERTEZA!$B$16,J8=INCERTEZA!$C$16),INCERTEZA!$D$16,IF(AND(I8=INCERTEZA!$B$17,J8=INCERTEZA!$C$17),INCERTEZA!$D$17,"-")))))))))))))))</f>
        <v>-</v>
      </c>
      <c r="L8" s="33" t="e">
        <f>AEP!CX13</f>
        <v>#N/A</v>
      </c>
      <c r="M8" s="34" t="e">
        <f>AEP!CO13</f>
        <v>#N/A</v>
      </c>
      <c r="N8" s="55" t="e">
        <f>IF(AND(L8=monitoramento!$C$4,M8=monitoramento!$D$4),monitoramento!$E$4,IF(AND(L8=monitoramento!$C$5,M8=monitoramento!$D$5),monitoramento!$E$5,IF(AND(L8=monitoramento!$C$6,M8=monitoramento!$D$6),monitoramento!$E$6,IF(AND(L8=monitoramento!$C$7,M8=monitoramento!$D$7),monitoramento!$E$7,IF(AND(L8=monitoramento!$C$8,M8=monitoramento!$D$8),monitoramento!$E$8,IF(AND(L8=monitoramento!$C$9,M8=monitoramento!$D$9),monitoramento!$E$9,IF(AND(L8=monitoramento!$C$10,M8=monitoramento!$D$10),monitoramento!$E$10,IF(AND(L8=monitoramento!$C$11,M8=monitoramento!$D$11),monitoramento!$E$11,IF(AND(L8=monitoramento!$C$12,M8=monitoramento!$D$12),monitoramento!$E$12,IF(AND(L8=monitoramento!$C$13,M8=monitoramento!$D$13),monitoramento!$E$13,IF(AND(L8=monitoramento!$C$14,M8=monitoramento!$D$14),monitoramento!$E$14,IF(AND(L8=monitoramento!$C$15,M8=monitoramento!$D$15),monitoramento!$E$15,IF(AND(L8=monitoramento!$C$16,M8=monitoramento!$D$16),monitoramento!$E$16,IF(AND(L8=monitoramento!$C$17,M8=monitoramento!$D$17),monitoramento!$E$17,IF(AND(L8=monitoramento!$C$18,M8=monitoramento!$D$18),monitoramento!$E$18,IF(AND(L8=monitoramento!$C$19,M8=monitoramento!$D$19),monitoramento!$E$19))))))))))))))))</f>
        <v>#N/A</v>
      </c>
      <c r="O8" s="55"/>
      <c r="P8" s="55"/>
      <c r="W8" s="66"/>
      <c r="X8" s="68"/>
      <c r="Y8" s="68"/>
      <c r="Z8" s="68"/>
    </row>
    <row r="9" spans="1:26" ht="15" thickBot="1" x14ac:dyDescent="0.25">
      <c r="H9" s="29" t="str">
        <f>AEP!BF14</f>
        <v/>
      </c>
      <c r="I9" s="30" t="str">
        <f>AEP!BI14</f>
        <v/>
      </c>
      <c r="J9" s="31">
        <f>AEP!BM14</f>
        <v>0</v>
      </c>
      <c r="K9" s="32" t="str">
        <f>IF(AND(I9=INCERTEZA!$B$3,J9=INCERTEZA!$C$3),INCERTEZA!$D$3,IF(AND(I9=INCERTEZA!$B$4,J9=INCERTEZA!$C$4),INCERTEZA!$D$4,IF(AND(I9=INCERTEZA!$B$5,J9=INCERTEZA!$C$5),INCERTEZA!$D$5,IF(AND(I9=INCERTEZA!$B$6,J9=INCERTEZA!$C$6),INCERTEZA!$D$6,IF(AND(I9=INCERTEZA!$B$7,J9=INCERTEZA!$C$7),INCERTEZA!$D$7,IF(AND(I9=INCERTEZA!$B$8,J9=INCERTEZA!$C$8),INCERTEZA!$D$8,IF(AND(I9=INCERTEZA!$B$9,J9=INCERTEZA!$C$9),INCERTEZA!$D$9,IF(AND(I9=INCERTEZA!$B$10,J9=INCERTEZA!$C$10),INCERTEZA!$D$10,IF(AND(I9=INCERTEZA!$B$11,J9=INCERTEZA!$C$11),INCERTEZA!$D$11,IF(AND(I9=INCERTEZA!$B$12,J9=INCERTEZA!$C$12),INCERTEZA!$D$12,IF(AND(I9=INCERTEZA!$B$13,J9=INCERTEZA!$C$13),INCERTEZA!$D$13,IF(AND(I9=INCERTEZA!$B$14,J9=INCERTEZA!$C$14),INCERTEZA!$D$14,IF(AND(I9=INCERTEZA!$B$15,J9=INCERTEZA!$C$15),INCERTEZA!$D$15,IF(AND(I9=INCERTEZA!$B$16,J9=INCERTEZA!$C$16),INCERTEZA!$D$16,IF(AND(I9=INCERTEZA!$B$17,J9=INCERTEZA!$C$17),INCERTEZA!$D$17,"-")))))))))))))))</f>
        <v>-</v>
      </c>
      <c r="L9" s="33" t="e">
        <f>AEP!CX14</f>
        <v>#N/A</v>
      </c>
      <c r="M9" s="34" t="e">
        <f>AEP!CO14</f>
        <v>#N/A</v>
      </c>
      <c r="N9" s="55" t="e">
        <f>IF(AND(L9=monitoramento!$C$4,M9=monitoramento!$D$4),monitoramento!$E$4,IF(AND(L9=monitoramento!$C$5,M9=monitoramento!$D$5),monitoramento!$E$5,IF(AND(L9=monitoramento!$C$6,M9=monitoramento!$D$6),monitoramento!$E$6,IF(AND(L9=monitoramento!$C$7,M9=monitoramento!$D$7),monitoramento!$E$7,IF(AND(L9=monitoramento!$C$8,M9=monitoramento!$D$8),monitoramento!$E$8,IF(AND(L9=monitoramento!$C$9,M9=monitoramento!$D$9),monitoramento!$E$9,IF(AND(L9=monitoramento!$C$10,M9=monitoramento!$D$10),monitoramento!$E$10,IF(AND(L9=monitoramento!$C$11,M9=monitoramento!$D$11),monitoramento!$E$11,IF(AND(L9=monitoramento!$C$12,M9=monitoramento!$D$12),monitoramento!$E$12,IF(AND(L9=monitoramento!$C$13,M9=monitoramento!$D$13),monitoramento!$E$13,IF(AND(L9=monitoramento!$C$14,M9=monitoramento!$D$14),monitoramento!$E$14,IF(AND(L9=monitoramento!$C$15,M9=monitoramento!$D$15),monitoramento!$E$15,IF(AND(L9=monitoramento!$C$16,M9=monitoramento!$D$16),monitoramento!$E$16,IF(AND(L9=monitoramento!$C$17,M9=monitoramento!$D$17),monitoramento!$E$17,IF(AND(L9=monitoramento!$C$18,M9=monitoramento!$D$18),monitoramento!$E$18,IF(AND(L9=monitoramento!$C$19,M9=monitoramento!$D$19),monitoramento!$E$19))))))))))))))))</f>
        <v>#N/A</v>
      </c>
      <c r="O9" s="55"/>
      <c r="P9" s="55"/>
    </row>
    <row r="10" spans="1:26" ht="25.9" customHeight="1" thickBot="1" x14ac:dyDescent="0.25">
      <c r="H10" s="29" t="str">
        <f>AEP!BF15</f>
        <v/>
      </c>
      <c r="I10" s="30" t="str">
        <f>AEP!BI15</f>
        <v/>
      </c>
      <c r="J10" s="31">
        <f>AEP!BM15</f>
        <v>0</v>
      </c>
      <c r="K10" s="32" t="str">
        <f>IF(AND(I10=INCERTEZA!$B$3,J10=INCERTEZA!$C$3),INCERTEZA!$D$3,IF(AND(I10=INCERTEZA!$B$4,J10=INCERTEZA!$C$4),INCERTEZA!$D$4,IF(AND(I10=INCERTEZA!$B$5,J10=INCERTEZA!$C$5),INCERTEZA!$D$5,IF(AND(I10=INCERTEZA!$B$6,J10=INCERTEZA!$C$6),INCERTEZA!$D$6,IF(AND(I10=INCERTEZA!$B$7,J10=INCERTEZA!$C$7),INCERTEZA!$D$7,IF(AND(I10=INCERTEZA!$B$8,J10=INCERTEZA!$C$8),INCERTEZA!$D$8,IF(AND(I10=INCERTEZA!$B$9,J10=INCERTEZA!$C$9),INCERTEZA!$D$9,IF(AND(I10=INCERTEZA!$B$10,J10=INCERTEZA!$C$10),INCERTEZA!$D$10,IF(AND(I10=INCERTEZA!$B$11,J10=INCERTEZA!$C$11),INCERTEZA!$D$11,IF(AND(I10=INCERTEZA!$B$12,J10=INCERTEZA!$C$12),INCERTEZA!$D$12,IF(AND(I10=INCERTEZA!$B$13,J10=INCERTEZA!$C$13),INCERTEZA!$D$13,IF(AND(I10=INCERTEZA!$B$14,J10=INCERTEZA!$C$14),INCERTEZA!$D$14,IF(AND(I10=INCERTEZA!$B$15,J10=INCERTEZA!$C$15),INCERTEZA!$D$15,IF(AND(I10=INCERTEZA!$B$16,J10=INCERTEZA!$C$16),INCERTEZA!$D$16,IF(AND(I10=INCERTEZA!$B$17,J10=INCERTEZA!$C$17),INCERTEZA!$D$17,"-")))))))))))))))</f>
        <v>-</v>
      </c>
      <c r="L10" s="33" t="e">
        <f>AEP!CX15</f>
        <v>#N/A</v>
      </c>
      <c r="M10" s="34" t="e">
        <f>AEP!CO15</f>
        <v>#N/A</v>
      </c>
      <c r="N10" s="55" t="e">
        <f>IF(AND(L10=monitoramento!$C$4,M10=monitoramento!$D$4),monitoramento!$E$4,IF(AND(L10=monitoramento!$C$5,M10=monitoramento!$D$5),monitoramento!$E$5,IF(AND(L10=monitoramento!$C$6,M10=monitoramento!$D$6),monitoramento!$E$6,IF(AND(L10=monitoramento!$C$7,M10=monitoramento!$D$7),monitoramento!$E$7,IF(AND(L10=monitoramento!$C$8,M10=monitoramento!$D$8),monitoramento!$E$8,IF(AND(L10=monitoramento!$C$9,M10=monitoramento!$D$9),monitoramento!$E$9,IF(AND(L10=monitoramento!$C$10,M10=monitoramento!$D$10),monitoramento!$E$10,IF(AND(L10=monitoramento!$C$11,M10=monitoramento!$D$11),monitoramento!$E$11,IF(AND(L10=monitoramento!$C$12,M10=monitoramento!$D$12),monitoramento!$E$12,IF(AND(L10=monitoramento!$C$13,M10=monitoramento!$D$13),monitoramento!$E$13,IF(AND(L10=monitoramento!$C$14,M10=monitoramento!$D$14),monitoramento!$E$14,IF(AND(L10=monitoramento!$C$15,M10=monitoramento!$D$15),monitoramento!$E$15,IF(AND(L10=monitoramento!$C$16,M10=monitoramento!$D$16),monitoramento!$E$16,IF(AND(L10=monitoramento!$C$17,M10=monitoramento!$D$17),monitoramento!$E$17,IF(AND(L10=monitoramento!$C$18,M10=monitoramento!$D$18),monitoramento!$E$18,IF(AND(L10=monitoramento!$C$19,M10=monitoramento!$D$19),monitoramento!$E$19))))))))))))))))</f>
        <v>#N/A</v>
      </c>
      <c r="O10" s="55"/>
      <c r="P10" s="55"/>
    </row>
    <row r="11" spans="1:26" ht="25.9" customHeight="1" thickBot="1" x14ac:dyDescent="0.25">
      <c r="H11" s="29" t="str">
        <f>AEP!BF16</f>
        <v/>
      </c>
      <c r="I11" s="30" t="str">
        <f>AEP!BI16</f>
        <v/>
      </c>
      <c r="J11" s="31">
        <f>AEP!BM16</f>
        <v>0</v>
      </c>
      <c r="K11" s="32" t="str">
        <f>IF(AND(I11=INCERTEZA!$B$3,J11=INCERTEZA!$C$3),INCERTEZA!$D$3,IF(AND(I11=INCERTEZA!$B$4,J11=INCERTEZA!$C$4),INCERTEZA!$D$4,IF(AND(I11=INCERTEZA!$B$5,J11=INCERTEZA!$C$5),INCERTEZA!$D$5,IF(AND(I11=INCERTEZA!$B$6,J11=INCERTEZA!$C$6),INCERTEZA!$D$6,IF(AND(I11=INCERTEZA!$B$7,J11=INCERTEZA!$C$7),INCERTEZA!$D$7,IF(AND(I11=INCERTEZA!$B$8,J11=INCERTEZA!$C$8),INCERTEZA!$D$8,IF(AND(I11=INCERTEZA!$B$9,J11=INCERTEZA!$C$9),INCERTEZA!$D$9,IF(AND(I11=INCERTEZA!$B$10,J11=INCERTEZA!$C$10),INCERTEZA!$D$10,IF(AND(I11=INCERTEZA!$B$11,J11=INCERTEZA!$C$11),INCERTEZA!$D$11,IF(AND(I11=INCERTEZA!$B$12,J11=INCERTEZA!$C$12),INCERTEZA!$D$12,IF(AND(I11=INCERTEZA!$B$13,J11=INCERTEZA!$C$13),INCERTEZA!$D$13,IF(AND(I11=INCERTEZA!$B$14,J11=INCERTEZA!$C$14),INCERTEZA!$D$14,IF(AND(I11=INCERTEZA!$B$15,J11=INCERTEZA!$C$15),INCERTEZA!$D$15,IF(AND(I11=INCERTEZA!$B$16,J11=INCERTEZA!$C$16),INCERTEZA!$D$16,IF(AND(I11=INCERTEZA!$B$17,J11=INCERTEZA!$C$17),INCERTEZA!$D$17,"-")))))))))))))))</f>
        <v>-</v>
      </c>
      <c r="L11" s="33" t="e">
        <f>AEP!CX16</f>
        <v>#N/A</v>
      </c>
      <c r="M11" s="34" t="e">
        <f>AEP!CO16</f>
        <v>#N/A</v>
      </c>
      <c r="N11" s="55" t="e">
        <f>IF(AND(L11=monitoramento!$C$4,M11=monitoramento!$D$4),monitoramento!$E$4,IF(AND(L11=monitoramento!$C$5,M11=monitoramento!$D$5),monitoramento!$E$5,IF(AND(L11=monitoramento!$C$6,M11=monitoramento!$D$6),monitoramento!$E$6,IF(AND(L11=monitoramento!$C$7,M11=monitoramento!$D$7),monitoramento!$E$7,IF(AND(L11=monitoramento!$C$8,M11=monitoramento!$D$8),monitoramento!$E$8,IF(AND(L11=monitoramento!$C$9,M11=monitoramento!$D$9),monitoramento!$E$9,IF(AND(L11=monitoramento!$C$10,M11=monitoramento!$D$10),monitoramento!$E$10,IF(AND(L11=monitoramento!$C$11,M11=monitoramento!$D$11),monitoramento!$E$11,IF(AND(L11=monitoramento!$C$12,M11=monitoramento!$D$12),monitoramento!$E$12,IF(AND(L11=monitoramento!$C$13,M11=monitoramento!$D$13),monitoramento!$E$13,IF(AND(L11=monitoramento!$C$14,M11=monitoramento!$D$14),monitoramento!$E$14,IF(AND(L11=monitoramento!$C$15,M11=monitoramento!$D$15),monitoramento!$E$15,IF(AND(L11=monitoramento!$C$16,M11=monitoramento!$D$16),monitoramento!$E$16,IF(AND(L11=monitoramento!$C$17,M11=monitoramento!$D$17),monitoramento!$E$17,IF(AND(L11=monitoramento!$C$18,M11=monitoramento!$D$18),monitoramento!$E$18,IF(AND(L11=monitoramento!$C$19,M11=monitoramento!$D$19),monitoramento!$E$19))))))))))))))))</f>
        <v>#N/A</v>
      </c>
      <c r="O11" s="55"/>
      <c r="P11" s="55"/>
    </row>
    <row r="12" spans="1:26" ht="25.9" customHeight="1" thickBot="1" x14ac:dyDescent="0.25">
      <c r="H12" s="29" t="str">
        <f>AEP!BF17</f>
        <v/>
      </c>
      <c r="I12" s="30" t="str">
        <f>AEP!BI17</f>
        <v/>
      </c>
      <c r="J12" s="31">
        <f>AEP!BM17</f>
        <v>0</v>
      </c>
      <c r="K12" s="32" t="str">
        <f>IF(AND(I12=INCERTEZA!$B$3,J12=INCERTEZA!$C$3),INCERTEZA!$D$3,IF(AND(I12=INCERTEZA!$B$4,J12=INCERTEZA!$C$4),INCERTEZA!$D$4,IF(AND(I12=INCERTEZA!$B$5,J12=INCERTEZA!$C$5),INCERTEZA!$D$5,IF(AND(I12=INCERTEZA!$B$6,J12=INCERTEZA!$C$6),INCERTEZA!$D$6,IF(AND(I12=INCERTEZA!$B$7,J12=INCERTEZA!$C$7),INCERTEZA!$D$7,IF(AND(I12=INCERTEZA!$B$8,J12=INCERTEZA!$C$8),INCERTEZA!$D$8,IF(AND(I12=INCERTEZA!$B$9,J12=INCERTEZA!$C$9),INCERTEZA!$D$9,IF(AND(I12=INCERTEZA!$B$10,J12=INCERTEZA!$C$10),INCERTEZA!$D$10,IF(AND(I12=INCERTEZA!$B$11,J12=INCERTEZA!$C$11),INCERTEZA!$D$11,IF(AND(I12=INCERTEZA!$B$12,J12=INCERTEZA!$C$12),INCERTEZA!$D$12,IF(AND(I12=INCERTEZA!$B$13,J12=INCERTEZA!$C$13),INCERTEZA!$D$13,IF(AND(I12=INCERTEZA!$B$14,J12=INCERTEZA!$C$14),INCERTEZA!$D$14,IF(AND(I12=INCERTEZA!$B$15,J12=INCERTEZA!$C$15),INCERTEZA!$D$15,IF(AND(I12=INCERTEZA!$B$16,J12=INCERTEZA!$C$16),INCERTEZA!$D$16,IF(AND(I12=INCERTEZA!$B$17,J12=INCERTEZA!$C$17),INCERTEZA!$D$17,"-")))))))))))))))</f>
        <v>-</v>
      </c>
      <c r="L12" s="33" t="e">
        <f>AEP!CX17</f>
        <v>#N/A</v>
      </c>
      <c r="M12" s="34" t="e">
        <f>AEP!CO17</f>
        <v>#N/A</v>
      </c>
      <c r="N12" s="55" t="e">
        <f>IF(AND(L12=monitoramento!$C$4,M12=monitoramento!$D$4),monitoramento!$E$4,IF(AND(L12=monitoramento!$C$5,M12=monitoramento!$D$5),monitoramento!$E$5,IF(AND(L12=monitoramento!$C$6,M12=monitoramento!$D$6),monitoramento!$E$6,IF(AND(L12=monitoramento!$C$7,M12=monitoramento!$D$7),monitoramento!$E$7,IF(AND(L12=monitoramento!$C$8,M12=monitoramento!$D$8),monitoramento!$E$8,IF(AND(L12=monitoramento!$C$9,M12=monitoramento!$D$9),monitoramento!$E$9,IF(AND(L12=monitoramento!$C$10,M12=monitoramento!$D$10),monitoramento!$E$10,IF(AND(L12=monitoramento!$C$11,M12=monitoramento!$D$11),monitoramento!$E$11,IF(AND(L12=monitoramento!$C$12,M12=monitoramento!$D$12),monitoramento!$E$12,IF(AND(L12=monitoramento!$C$13,M12=monitoramento!$D$13),monitoramento!$E$13,IF(AND(L12=monitoramento!$C$14,M12=monitoramento!$D$14),monitoramento!$E$14,IF(AND(L12=monitoramento!$C$15,M12=monitoramento!$D$15),monitoramento!$E$15,IF(AND(L12=monitoramento!$C$16,M12=monitoramento!$D$16),monitoramento!$E$16,IF(AND(L12=monitoramento!$C$17,M12=monitoramento!$D$17),monitoramento!$E$17,IF(AND(L12=monitoramento!$C$18,M12=monitoramento!$D$18),monitoramento!$E$18,IF(AND(L12=monitoramento!$C$19,M12=monitoramento!$D$19),monitoramento!$E$19))))))))))))))))</f>
        <v>#N/A</v>
      </c>
      <c r="O12" s="55"/>
      <c r="P12" s="55"/>
    </row>
    <row r="13" spans="1:26" ht="25.9" customHeight="1" thickBot="1" x14ac:dyDescent="0.25">
      <c r="H13" s="29" t="str">
        <f>AEP!BF18</f>
        <v/>
      </c>
      <c r="I13" s="30" t="str">
        <f>AEP!BI18</f>
        <v/>
      </c>
      <c r="J13" s="31">
        <f>AEP!BM18</f>
        <v>0</v>
      </c>
      <c r="K13" s="32" t="str">
        <f>IF(AND(I13=INCERTEZA!$B$3,J13=INCERTEZA!$C$3),INCERTEZA!$D$3,IF(AND(I13=INCERTEZA!$B$4,J13=INCERTEZA!$C$4),INCERTEZA!$D$4,IF(AND(I13=INCERTEZA!$B$5,J13=INCERTEZA!$C$5),INCERTEZA!$D$5,IF(AND(I13=INCERTEZA!$B$6,J13=INCERTEZA!$C$6),INCERTEZA!$D$6,IF(AND(I13=INCERTEZA!$B$7,J13=INCERTEZA!$C$7),INCERTEZA!$D$7,IF(AND(I13=INCERTEZA!$B$8,J13=INCERTEZA!$C$8),INCERTEZA!$D$8,IF(AND(I13=INCERTEZA!$B$9,J13=INCERTEZA!$C$9),INCERTEZA!$D$9,IF(AND(I13=INCERTEZA!$B$10,J13=INCERTEZA!$C$10),INCERTEZA!$D$10,IF(AND(I13=INCERTEZA!$B$11,J13=INCERTEZA!$C$11),INCERTEZA!$D$11,IF(AND(I13=INCERTEZA!$B$12,J13=INCERTEZA!$C$12),INCERTEZA!$D$12,IF(AND(I13=INCERTEZA!$B$13,J13=INCERTEZA!$C$13),INCERTEZA!$D$13,IF(AND(I13=INCERTEZA!$B$14,J13=INCERTEZA!$C$14),INCERTEZA!$D$14,IF(AND(I13=INCERTEZA!$B$15,J13=INCERTEZA!$C$15),INCERTEZA!$D$15,IF(AND(I13=INCERTEZA!$B$16,J13=INCERTEZA!$C$16),INCERTEZA!$D$16,IF(AND(I13=INCERTEZA!$B$17,J13=INCERTEZA!$C$17),INCERTEZA!$D$17,"-")))))))))))))))</f>
        <v>-</v>
      </c>
      <c r="L13" s="33" t="e">
        <f>AEP!CX18</f>
        <v>#N/A</v>
      </c>
      <c r="M13" s="34" t="e">
        <f>AEP!CO18</f>
        <v>#N/A</v>
      </c>
      <c r="N13" s="55" t="e">
        <f>IF(AND(L13=monitoramento!$C$4,M13=monitoramento!$D$4),monitoramento!$E$4,IF(AND(L13=monitoramento!$C$5,M13=monitoramento!$D$5),monitoramento!$E$5,IF(AND(L13=monitoramento!$C$6,M13=monitoramento!$D$6),monitoramento!$E$6,IF(AND(L13=monitoramento!$C$7,M13=monitoramento!$D$7),monitoramento!$E$7,IF(AND(L13=monitoramento!$C$8,M13=monitoramento!$D$8),monitoramento!$E$8,IF(AND(L13=monitoramento!$C$9,M13=monitoramento!$D$9),monitoramento!$E$9,IF(AND(L13=monitoramento!$C$10,M13=monitoramento!$D$10),monitoramento!$E$10,IF(AND(L13=monitoramento!$C$11,M13=monitoramento!$D$11),monitoramento!$E$11,IF(AND(L13=monitoramento!$C$12,M13=monitoramento!$D$12),monitoramento!$E$12,IF(AND(L13=monitoramento!$C$13,M13=monitoramento!$D$13),monitoramento!$E$13,IF(AND(L13=monitoramento!$C$14,M13=monitoramento!$D$14),monitoramento!$E$14,IF(AND(L13=monitoramento!$C$15,M13=monitoramento!$D$15),monitoramento!$E$15,IF(AND(L13=monitoramento!$C$16,M13=monitoramento!$D$16),monitoramento!$E$16,IF(AND(L13=monitoramento!$C$17,M13=monitoramento!$D$17),monitoramento!$E$17,IF(AND(L13=monitoramento!$C$18,M13=monitoramento!$D$18),monitoramento!$E$18,IF(AND(L13=monitoramento!$C$19,M13=monitoramento!$D$19),monitoramento!$E$19))))))))))))))))</f>
        <v>#N/A</v>
      </c>
      <c r="O13" s="55"/>
      <c r="P13" s="55"/>
    </row>
    <row r="14" spans="1:26" ht="25.9" customHeight="1" thickBot="1" x14ac:dyDescent="0.25">
      <c r="H14" s="29" t="str">
        <f>AEP!BF19</f>
        <v/>
      </c>
      <c r="I14" s="30" t="str">
        <f>AEP!BI19</f>
        <v/>
      </c>
      <c r="J14" s="31">
        <f>AEP!BM19</f>
        <v>0</v>
      </c>
      <c r="K14" s="32" t="str">
        <f>IF(AND(I14=INCERTEZA!$B$3,J14=INCERTEZA!$C$3),INCERTEZA!$D$3,IF(AND(I14=INCERTEZA!$B$4,J14=INCERTEZA!$C$4),INCERTEZA!$D$4,IF(AND(I14=INCERTEZA!$B$5,J14=INCERTEZA!$C$5),INCERTEZA!$D$5,IF(AND(I14=INCERTEZA!$B$6,J14=INCERTEZA!$C$6),INCERTEZA!$D$6,IF(AND(I14=INCERTEZA!$B$7,J14=INCERTEZA!$C$7),INCERTEZA!$D$7,IF(AND(I14=INCERTEZA!$B$8,J14=INCERTEZA!$C$8),INCERTEZA!$D$8,IF(AND(I14=INCERTEZA!$B$9,J14=INCERTEZA!$C$9),INCERTEZA!$D$9,IF(AND(I14=INCERTEZA!$B$10,J14=INCERTEZA!$C$10),INCERTEZA!$D$10,IF(AND(I14=INCERTEZA!$B$11,J14=INCERTEZA!$C$11),INCERTEZA!$D$11,IF(AND(I14=INCERTEZA!$B$12,J14=INCERTEZA!$C$12),INCERTEZA!$D$12,IF(AND(I14=INCERTEZA!$B$13,J14=INCERTEZA!$C$13),INCERTEZA!$D$13,IF(AND(I14=INCERTEZA!$B$14,J14=INCERTEZA!$C$14),INCERTEZA!$D$14,IF(AND(I14=INCERTEZA!$B$15,J14=INCERTEZA!$C$15),INCERTEZA!$D$15,IF(AND(I14=INCERTEZA!$B$16,J14=INCERTEZA!$C$16),INCERTEZA!$D$16,IF(AND(I14=INCERTEZA!$B$17,J14=INCERTEZA!$C$17),INCERTEZA!$D$17,"-")))))))))))))))</f>
        <v>-</v>
      </c>
      <c r="L14" s="33" t="e">
        <f>AEP!CX19</f>
        <v>#N/A</v>
      </c>
      <c r="M14" s="34" t="e">
        <f>AEP!CO19</f>
        <v>#N/A</v>
      </c>
      <c r="N14" s="55" t="e">
        <f>IF(AND(L14=monitoramento!$C$4,M14=monitoramento!$D$4),monitoramento!$E$4,IF(AND(L14=monitoramento!$C$5,M14=monitoramento!$D$5),monitoramento!$E$5,IF(AND(L14=monitoramento!$C$6,M14=monitoramento!$D$6),monitoramento!$E$6,IF(AND(L14=monitoramento!$C$7,M14=monitoramento!$D$7),monitoramento!$E$7,IF(AND(L14=monitoramento!$C$8,M14=monitoramento!$D$8),monitoramento!$E$8,IF(AND(L14=monitoramento!$C$9,M14=monitoramento!$D$9),monitoramento!$E$9,IF(AND(L14=monitoramento!$C$10,M14=monitoramento!$D$10),monitoramento!$E$10,IF(AND(L14=monitoramento!$C$11,M14=monitoramento!$D$11),monitoramento!$E$11,IF(AND(L14=monitoramento!$C$12,M14=monitoramento!$D$12),monitoramento!$E$12,IF(AND(L14=monitoramento!$C$13,M14=monitoramento!$D$13),monitoramento!$E$13,IF(AND(L14=monitoramento!$C$14,M14=monitoramento!$D$14),monitoramento!$E$14,IF(AND(L14=monitoramento!$C$15,M14=monitoramento!$D$15),monitoramento!$E$15,IF(AND(L14=monitoramento!$C$16,M14=monitoramento!$D$16),monitoramento!$E$16,IF(AND(L14=monitoramento!$C$17,M14=monitoramento!$D$17),monitoramento!$E$17,IF(AND(L14=monitoramento!$C$18,M14=monitoramento!$D$18),monitoramento!$E$18,IF(AND(L14=monitoramento!$C$19,M14=monitoramento!$D$19),monitoramento!$E$19))))))))))))))))</f>
        <v>#N/A</v>
      </c>
      <c r="O14" s="55"/>
      <c r="P14" s="55"/>
    </row>
    <row r="15" spans="1:26" ht="25.9" customHeight="1" thickBot="1" x14ac:dyDescent="0.25">
      <c r="H15" s="29" t="str">
        <f>AEP!BF20</f>
        <v/>
      </c>
      <c r="I15" s="30" t="str">
        <f>AEP!BI20</f>
        <v/>
      </c>
      <c r="J15" s="31">
        <f>AEP!BM20</f>
        <v>0</v>
      </c>
      <c r="K15" s="32" t="str">
        <f>IF(AND(I15=INCERTEZA!$B$3,J15=INCERTEZA!$C$3),INCERTEZA!$D$3,IF(AND(I15=INCERTEZA!$B$4,J15=INCERTEZA!$C$4),INCERTEZA!$D$4,IF(AND(I15=INCERTEZA!$B$5,J15=INCERTEZA!$C$5),INCERTEZA!$D$5,IF(AND(I15=INCERTEZA!$B$6,J15=INCERTEZA!$C$6),INCERTEZA!$D$6,IF(AND(I15=INCERTEZA!$B$7,J15=INCERTEZA!$C$7),INCERTEZA!$D$7,IF(AND(I15=INCERTEZA!$B$8,J15=INCERTEZA!$C$8),INCERTEZA!$D$8,IF(AND(I15=INCERTEZA!$B$9,J15=INCERTEZA!$C$9),INCERTEZA!$D$9,IF(AND(I15=INCERTEZA!$B$10,J15=INCERTEZA!$C$10),INCERTEZA!$D$10,IF(AND(I15=INCERTEZA!$B$11,J15=INCERTEZA!$C$11),INCERTEZA!$D$11,IF(AND(I15=INCERTEZA!$B$12,J15=INCERTEZA!$C$12),INCERTEZA!$D$12,IF(AND(I15=INCERTEZA!$B$13,J15=INCERTEZA!$C$13),INCERTEZA!$D$13,IF(AND(I15=INCERTEZA!$B$14,J15=INCERTEZA!$C$14),INCERTEZA!$D$14,IF(AND(I15=INCERTEZA!$B$15,J15=INCERTEZA!$C$15),INCERTEZA!$D$15,IF(AND(I15=INCERTEZA!$B$16,J15=INCERTEZA!$C$16),INCERTEZA!$D$16,IF(AND(I15=INCERTEZA!$B$17,J15=INCERTEZA!$C$17),INCERTEZA!$D$17,"-")))))))))))))))</f>
        <v>-</v>
      </c>
      <c r="L15" s="33" t="e">
        <f>AEP!CX20</f>
        <v>#N/A</v>
      </c>
      <c r="M15" s="34" t="e">
        <f>AEP!CO20</f>
        <v>#N/A</v>
      </c>
      <c r="N15" s="55" t="e">
        <f>IF(AND(L15=monitoramento!$C$4,M15=monitoramento!$D$4),monitoramento!$E$4,IF(AND(L15=monitoramento!$C$5,M15=monitoramento!$D$5),monitoramento!$E$5,IF(AND(L15=monitoramento!$C$6,M15=monitoramento!$D$6),monitoramento!$E$6,IF(AND(L15=monitoramento!$C$7,M15=monitoramento!$D$7),monitoramento!$E$7,IF(AND(L15=monitoramento!$C$8,M15=monitoramento!$D$8),monitoramento!$E$8,IF(AND(L15=monitoramento!$C$9,M15=monitoramento!$D$9),monitoramento!$E$9,IF(AND(L15=monitoramento!$C$10,M15=monitoramento!$D$10),monitoramento!$E$10,IF(AND(L15=monitoramento!$C$11,M15=monitoramento!$D$11),monitoramento!$E$11,IF(AND(L15=monitoramento!$C$12,M15=monitoramento!$D$12),monitoramento!$E$12,IF(AND(L15=monitoramento!$C$13,M15=monitoramento!$D$13),monitoramento!$E$13,IF(AND(L15=monitoramento!$C$14,M15=monitoramento!$D$14),monitoramento!$E$14,IF(AND(L15=monitoramento!$C$15,M15=monitoramento!$D$15),monitoramento!$E$15,IF(AND(L15=monitoramento!$C$16,M15=monitoramento!$D$16),monitoramento!$E$16,IF(AND(L15=monitoramento!$C$17,M15=monitoramento!$D$17),monitoramento!$E$17,IF(AND(L15=monitoramento!$C$18,M15=monitoramento!$D$18),monitoramento!$E$18,IF(AND(L15=monitoramento!$C$19,M15=monitoramento!$D$19),monitoramento!$E$19))))))))))))))))</f>
        <v>#N/A</v>
      </c>
      <c r="O15" s="55"/>
      <c r="P15" s="55"/>
    </row>
    <row r="16" spans="1:26" ht="25.9" customHeight="1" thickBot="1" x14ac:dyDescent="0.25">
      <c r="H16" s="29" t="str">
        <f>AEP!BF21</f>
        <v/>
      </c>
      <c r="I16" s="30" t="str">
        <f>AEP!BI21</f>
        <v/>
      </c>
      <c r="J16" s="31">
        <f>AEP!BM21</f>
        <v>0</v>
      </c>
      <c r="K16" s="32" t="str">
        <f>IF(AND(I16=INCERTEZA!$B$3,J16=INCERTEZA!$C$3),INCERTEZA!$D$3,IF(AND(I16=INCERTEZA!$B$4,J16=INCERTEZA!$C$4),INCERTEZA!$D$4,IF(AND(I16=INCERTEZA!$B$5,J16=INCERTEZA!$C$5),INCERTEZA!$D$5,IF(AND(I16=INCERTEZA!$B$6,J16=INCERTEZA!$C$6),INCERTEZA!$D$6,IF(AND(I16=INCERTEZA!$B$7,J16=INCERTEZA!$C$7),INCERTEZA!$D$7,IF(AND(I16=INCERTEZA!$B$8,J16=INCERTEZA!$C$8),INCERTEZA!$D$8,IF(AND(I16=INCERTEZA!$B$9,J16=INCERTEZA!$C$9),INCERTEZA!$D$9,IF(AND(I16=INCERTEZA!$B$10,J16=INCERTEZA!$C$10),INCERTEZA!$D$10,IF(AND(I16=INCERTEZA!$B$11,J16=INCERTEZA!$C$11),INCERTEZA!$D$11,IF(AND(I16=INCERTEZA!$B$12,J16=INCERTEZA!$C$12),INCERTEZA!$D$12,IF(AND(I16=INCERTEZA!$B$13,J16=INCERTEZA!$C$13),INCERTEZA!$D$13,IF(AND(I16=INCERTEZA!$B$14,J16=INCERTEZA!$C$14),INCERTEZA!$D$14,IF(AND(I16=INCERTEZA!$B$15,J16=INCERTEZA!$C$15),INCERTEZA!$D$15,IF(AND(I16=INCERTEZA!$B$16,J16=INCERTEZA!$C$16),INCERTEZA!$D$16,IF(AND(I16=INCERTEZA!$B$17,J16=INCERTEZA!$C$17),INCERTEZA!$D$17,"-")))))))))))))))</f>
        <v>-</v>
      </c>
      <c r="L16" s="33" t="e">
        <f>AEP!CX21</f>
        <v>#N/A</v>
      </c>
      <c r="M16" s="34" t="e">
        <f>AEP!CO21</f>
        <v>#N/A</v>
      </c>
      <c r="N16" s="55" t="e">
        <f>IF(AND(L16=monitoramento!$C$4,M16=monitoramento!$D$4),monitoramento!$E$4,IF(AND(L16=monitoramento!$C$5,M16=monitoramento!$D$5),monitoramento!$E$5,IF(AND(L16=monitoramento!$C$6,M16=monitoramento!$D$6),monitoramento!$E$6,IF(AND(L16=monitoramento!$C$7,M16=monitoramento!$D$7),monitoramento!$E$7,IF(AND(L16=monitoramento!$C$8,M16=monitoramento!$D$8),monitoramento!$E$8,IF(AND(L16=monitoramento!$C$9,M16=monitoramento!$D$9),monitoramento!$E$9,IF(AND(L16=monitoramento!$C$10,M16=monitoramento!$D$10),monitoramento!$E$10,IF(AND(L16=monitoramento!$C$11,M16=monitoramento!$D$11),monitoramento!$E$11,IF(AND(L16=monitoramento!$C$12,M16=monitoramento!$D$12),monitoramento!$E$12,IF(AND(L16=monitoramento!$C$13,M16=monitoramento!$D$13),monitoramento!$E$13,IF(AND(L16=monitoramento!$C$14,M16=monitoramento!$D$14),monitoramento!$E$14,IF(AND(L16=monitoramento!$C$15,M16=monitoramento!$D$15),monitoramento!$E$15,IF(AND(L16=monitoramento!$C$16,M16=monitoramento!$D$16),monitoramento!$E$16,IF(AND(L16=monitoramento!$C$17,M16=monitoramento!$D$17),monitoramento!$E$17,IF(AND(L16=monitoramento!$C$18,M16=monitoramento!$D$18),monitoramento!$E$18,IF(AND(L16=monitoramento!$C$19,M16=monitoramento!$D$19),monitoramento!$E$19))))))))))))))))</f>
        <v>#N/A</v>
      </c>
      <c r="O16" s="55"/>
      <c r="P16" s="55"/>
    </row>
    <row r="17" spans="8:16" ht="25.9" customHeight="1" thickBot="1" x14ac:dyDescent="0.25">
      <c r="H17" s="29" t="str">
        <f>AEP!BF22</f>
        <v/>
      </c>
      <c r="I17" s="30" t="str">
        <f>AEP!BI22</f>
        <v/>
      </c>
      <c r="J17" s="31">
        <f>AEP!BM22</f>
        <v>0</v>
      </c>
      <c r="K17" s="32" t="str">
        <f>IF(AND(I17=INCERTEZA!$B$3,J17=INCERTEZA!$C$3),INCERTEZA!$D$3,IF(AND(I17=INCERTEZA!$B$4,J17=INCERTEZA!$C$4),INCERTEZA!$D$4,IF(AND(I17=INCERTEZA!$B$5,J17=INCERTEZA!$C$5),INCERTEZA!$D$5,IF(AND(I17=INCERTEZA!$B$6,J17=INCERTEZA!$C$6),INCERTEZA!$D$6,IF(AND(I17=INCERTEZA!$B$7,J17=INCERTEZA!$C$7),INCERTEZA!$D$7,IF(AND(I17=INCERTEZA!$B$8,J17=INCERTEZA!$C$8),INCERTEZA!$D$8,IF(AND(I17=INCERTEZA!$B$9,J17=INCERTEZA!$C$9),INCERTEZA!$D$9,IF(AND(I17=INCERTEZA!$B$10,J17=INCERTEZA!$C$10),INCERTEZA!$D$10,IF(AND(I17=INCERTEZA!$B$11,J17=INCERTEZA!$C$11),INCERTEZA!$D$11,IF(AND(I17=INCERTEZA!$B$12,J17=INCERTEZA!$C$12),INCERTEZA!$D$12,IF(AND(I17=INCERTEZA!$B$13,J17=INCERTEZA!$C$13),INCERTEZA!$D$13,IF(AND(I17=INCERTEZA!$B$14,J17=INCERTEZA!$C$14),INCERTEZA!$D$14,IF(AND(I17=INCERTEZA!$B$15,J17=INCERTEZA!$C$15),INCERTEZA!$D$15,IF(AND(I17=INCERTEZA!$B$16,J17=INCERTEZA!$C$16),INCERTEZA!$D$16,IF(AND(I17=INCERTEZA!$B$17,J17=INCERTEZA!$C$17),INCERTEZA!$D$17,"-")))))))))))))))</f>
        <v>-</v>
      </c>
      <c r="L17" s="33" t="e">
        <f>AEP!CX22</f>
        <v>#N/A</v>
      </c>
      <c r="M17" s="34" t="e">
        <f>AEP!CO22</f>
        <v>#N/A</v>
      </c>
      <c r="N17" s="55" t="e">
        <f>IF(AND(L17=monitoramento!$C$4,M17=monitoramento!$D$4),monitoramento!$E$4,IF(AND(L17=monitoramento!$C$5,M17=monitoramento!$D$5),monitoramento!$E$5,IF(AND(L17=monitoramento!$C$6,M17=monitoramento!$D$6),monitoramento!$E$6,IF(AND(L17=monitoramento!$C$7,M17=monitoramento!$D$7),monitoramento!$E$7,IF(AND(L17=monitoramento!$C$8,M17=monitoramento!$D$8),monitoramento!$E$8,IF(AND(L17=monitoramento!$C$9,M17=monitoramento!$D$9),monitoramento!$E$9,IF(AND(L17=monitoramento!$C$10,M17=monitoramento!$D$10),monitoramento!$E$10,IF(AND(L17=monitoramento!$C$11,M17=monitoramento!$D$11),monitoramento!$E$11,IF(AND(L17=monitoramento!$C$12,M17=monitoramento!$D$12),monitoramento!$E$12,IF(AND(L17=monitoramento!$C$13,M17=monitoramento!$D$13),monitoramento!$E$13,IF(AND(L17=monitoramento!$C$14,M17=monitoramento!$D$14),monitoramento!$E$14,IF(AND(L17=monitoramento!$C$15,M17=monitoramento!$D$15),monitoramento!$E$15,IF(AND(L17=monitoramento!$C$16,M17=monitoramento!$D$16),monitoramento!$E$16,IF(AND(L17=monitoramento!$C$17,M17=monitoramento!$D$17),monitoramento!$E$17,IF(AND(L17=monitoramento!$C$18,M17=monitoramento!$D$18),monitoramento!$E$18,IF(AND(L17=monitoramento!$C$19,M17=monitoramento!$D$19),monitoramento!$E$19))))))))))))))))</f>
        <v>#N/A</v>
      </c>
      <c r="O17" s="55"/>
      <c r="P17" s="55"/>
    </row>
    <row r="18" spans="8:16" ht="25.9" customHeight="1" thickBot="1" x14ac:dyDescent="0.25">
      <c r="H18" s="29" t="str">
        <f>AEP!BF23</f>
        <v/>
      </c>
      <c r="I18" s="30" t="str">
        <f>AEP!BI23</f>
        <v/>
      </c>
      <c r="J18" s="31">
        <f>AEP!BM23</f>
        <v>0</v>
      </c>
      <c r="K18" s="32" t="str">
        <f>IF(AND(I18=INCERTEZA!$B$3,J18=INCERTEZA!$C$3),INCERTEZA!$D$3,IF(AND(I18=INCERTEZA!$B$4,J18=INCERTEZA!$C$4),INCERTEZA!$D$4,IF(AND(I18=INCERTEZA!$B$5,J18=INCERTEZA!$C$5),INCERTEZA!$D$5,IF(AND(I18=INCERTEZA!$B$6,J18=INCERTEZA!$C$6),INCERTEZA!$D$6,IF(AND(I18=INCERTEZA!$B$7,J18=INCERTEZA!$C$7),INCERTEZA!$D$7,IF(AND(I18=INCERTEZA!$B$8,J18=INCERTEZA!$C$8),INCERTEZA!$D$8,IF(AND(I18=INCERTEZA!$B$9,J18=INCERTEZA!$C$9),INCERTEZA!$D$9,IF(AND(I18=INCERTEZA!$B$10,J18=INCERTEZA!$C$10),INCERTEZA!$D$10,IF(AND(I18=INCERTEZA!$B$11,J18=INCERTEZA!$C$11),INCERTEZA!$D$11,IF(AND(I18=INCERTEZA!$B$12,J18=INCERTEZA!$C$12),INCERTEZA!$D$12,IF(AND(I18=INCERTEZA!$B$13,J18=INCERTEZA!$C$13),INCERTEZA!$D$13,IF(AND(I18=INCERTEZA!$B$14,J18=INCERTEZA!$C$14),INCERTEZA!$D$14,IF(AND(I18=INCERTEZA!$B$15,J18=INCERTEZA!$C$15),INCERTEZA!$D$15,IF(AND(I18=INCERTEZA!$B$16,J18=INCERTEZA!$C$16),INCERTEZA!$D$16,IF(AND(I18=INCERTEZA!$B$17,J18=INCERTEZA!$C$17),INCERTEZA!$D$17,"-")))))))))))))))</f>
        <v>-</v>
      </c>
      <c r="L18" s="33" t="e">
        <f>AEP!CX23</f>
        <v>#N/A</v>
      </c>
      <c r="M18" s="34" t="e">
        <f>AEP!CO23</f>
        <v>#N/A</v>
      </c>
      <c r="N18" s="55" t="e">
        <f>IF(AND(L18=monitoramento!$C$4,M18=monitoramento!$D$4),monitoramento!$E$4,IF(AND(L18=monitoramento!$C$5,M18=monitoramento!$D$5),monitoramento!$E$5,IF(AND(L18=monitoramento!$C$6,M18=monitoramento!$D$6),monitoramento!$E$6,IF(AND(L18=monitoramento!$C$7,M18=monitoramento!$D$7),monitoramento!$E$7,IF(AND(L18=monitoramento!$C$8,M18=monitoramento!$D$8),monitoramento!$E$8,IF(AND(L18=monitoramento!$C$9,M18=monitoramento!$D$9),monitoramento!$E$9,IF(AND(L18=monitoramento!$C$10,M18=monitoramento!$D$10),monitoramento!$E$10,IF(AND(L18=monitoramento!$C$11,M18=monitoramento!$D$11),monitoramento!$E$11,IF(AND(L18=monitoramento!$C$12,M18=monitoramento!$D$12),monitoramento!$E$12,IF(AND(L18=monitoramento!$C$13,M18=monitoramento!$D$13),monitoramento!$E$13,IF(AND(L18=monitoramento!$C$14,M18=monitoramento!$D$14),monitoramento!$E$14,IF(AND(L18=monitoramento!$C$15,M18=monitoramento!$D$15),monitoramento!$E$15,IF(AND(L18=monitoramento!$C$16,M18=monitoramento!$D$16),monitoramento!$E$16,IF(AND(L18=monitoramento!$C$17,M18=monitoramento!$D$17),monitoramento!$E$17,IF(AND(L18=monitoramento!$C$18,M18=monitoramento!$D$18),monitoramento!$E$18,IF(AND(L18=monitoramento!$C$19,M18=monitoramento!$D$19),monitoramento!$E$19))))))))))))))))</f>
        <v>#N/A</v>
      </c>
      <c r="O18" s="55"/>
      <c r="P18" s="55"/>
    </row>
    <row r="19" spans="8:16" ht="25.9" customHeight="1" thickBot="1" x14ac:dyDescent="0.25">
      <c r="H19" s="29" t="str">
        <f>AEP!BF24</f>
        <v/>
      </c>
      <c r="I19" s="30" t="str">
        <f>AEP!BI24</f>
        <v/>
      </c>
      <c r="J19" s="31">
        <f>AEP!BM24</f>
        <v>0</v>
      </c>
      <c r="K19" s="32" t="str">
        <f>IF(AND(I19=INCERTEZA!$B$3,J19=INCERTEZA!$C$3),INCERTEZA!$D$3,IF(AND(I19=INCERTEZA!$B$4,J19=INCERTEZA!$C$4),INCERTEZA!$D$4,IF(AND(I19=INCERTEZA!$B$5,J19=INCERTEZA!$C$5),INCERTEZA!$D$5,IF(AND(I19=INCERTEZA!$B$6,J19=INCERTEZA!$C$6),INCERTEZA!$D$6,IF(AND(I19=INCERTEZA!$B$7,J19=INCERTEZA!$C$7),INCERTEZA!$D$7,IF(AND(I19=INCERTEZA!$B$8,J19=INCERTEZA!$C$8),INCERTEZA!$D$8,IF(AND(I19=INCERTEZA!$B$9,J19=INCERTEZA!$C$9),INCERTEZA!$D$9,IF(AND(I19=INCERTEZA!$B$10,J19=INCERTEZA!$C$10),INCERTEZA!$D$10,IF(AND(I19=INCERTEZA!$B$11,J19=INCERTEZA!$C$11),INCERTEZA!$D$11,IF(AND(I19=INCERTEZA!$B$12,J19=INCERTEZA!$C$12),INCERTEZA!$D$12,IF(AND(I19=INCERTEZA!$B$13,J19=INCERTEZA!$C$13),INCERTEZA!$D$13,IF(AND(I19=INCERTEZA!$B$14,J19=INCERTEZA!$C$14),INCERTEZA!$D$14,IF(AND(I19=INCERTEZA!$B$15,J19=INCERTEZA!$C$15),INCERTEZA!$D$15,IF(AND(I19=INCERTEZA!$B$16,J19=INCERTEZA!$C$16),INCERTEZA!$D$16,IF(AND(I19=INCERTEZA!$B$17,J19=INCERTEZA!$C$17),INCERTEZA!$D$17,"-")))))))))))))))</f>
        <v>-</v>
      </c>
      <c r="L19" s="33" t="e">
        <f>AEP!CX24</f>
        <v>#N/A</v>
      </c>
      <c r="M19" s="34" t="e">
        <f>AEP!CO24</f>
        <v>#N/A</v>
      </c>
      <c r="N19" s="55" t="e">
        <f>IF(AND(L19=monitoramento!$C$4,M19=monitoramento!$D$4),monitoramento!$E$4,IF(AND(L19=monitoramento!$C$5,M19=monitoramento!$D$5),monitoramento!$E$5,IF(AND(L19=monitoramento!$C$6,M19=monitoramento!$D$6),monitoramento!$E$6,IF(AND(L19=monitoramento!$C$7,M19=monitoramento!$D$7),monitoramento!$E$7,IF(AND(L19=monitoramento!$C$8,M19=monitoramento!$D$8),monitoramento!$E$8,IF(AND(L19=monitoramento!$C$9,M19=monitoramento!$D$9),monitoramento!$E$9,IF(AND(L19=monitoramento!$C$10,M19=monitoramento!$D$10),monitoramento!$E$10,IF(AND(L19=monitoramento!$C$11,M19=monitoramento!$D$11),monitoramento!$E$11,IF(AND(L19=monitoramento!$C$12,M19=monitoramento!$D$12),monitoramento!$E$12,IF(AND(L19=monitoramento!$C$13,M19=monitoramento!$D$13),monitoramento!$E$13,IF(AND(L19=monitoramento!$C$14,M19=monitoramento!$D$14),monitoramento!$E$14,IF(AND(L19=monitoramento!$C$15,M19=monitoramento!$D$15),monitoramento!$E$15,IF(AND(L19=monitoramento!$C$16,M19=monitoramento!$D$16),monitoramento!$E$16,IF(AND(L19=monitoramento!$C$17,M19=monitoramento!$D$17),monitoramento!$E$17,IF(AND(L19=monitoramento!$C$18,M19=monitoramento!$D$18),monitoramento!$E$18,IF(AND(L19=monitoramento!$C$19,M19=monitoramento!$D$19),monitoramento!$E$19))))))))))))))))</f>
        <v>#N/A</v>
      </c>
      <c r="O19" s="55"/>
      <c r="P19" s="55"/>
    </row>
    <row r="20" spans="8:16" ht="25.9" customHeight="1" thickBot="1" x14ac:dyDescent="0.25">
      <c r="H20" s="29" t="str">
        <f>AEP!BF25</f>
        <v/>
      </c>
      <c r="I20" s="30" t="str">
        <f>AEP!BI25</f>
        <v/>
      </c>
      <c r="J20" s="31">
        <f>AEP!BM25</f>
        <v>0</v>
      </c>
      <c r="K20" s="32" t="str">
        <f>IF(AND(I20=INCERTEZA!$B$3,J20=INCERTEZA!$C$3),INCERTEZA!$D$3,IF(AND(I20=INCERTEZA!$B$4,J20=INCERTEZA!$C$4),INCERTEZA!$D$4,IF(AND(I20=INCERTEZA!$B$5,J20=INCERTEZA!$C$5),INCERTEZA!$D$5,IF(AND(I20=INCERTEZA!$B$6,J20=INCERTEZA!$C$6),INCERTEZA!$D$6,IF(AND(I20=INCERTEZA!$B$7,J20=INCERTEZA!$C$7),INCERTEZA!$D$7,IF(AND(I20=INCERTEZA!$B$8,J20=INCERTEZA!$C$8),INCERTEZA!$D$8,IF(AND(I20=INCERTEZA!$B$9,J20=INCERTEZA!$C$9),INCERTEZA!$D$9,IF(AND(I20=INCERTEZA!$B$10,J20=INCERTEZA!$C$10),INCERTEZA!$D$10,IF(AND(I20=INCERTEZA!$B$11,J20=INCERTEZA!$C$11),INCERTEZA!$D$11,IF(AND(I20=INCERTEZA!$B$12,J20=INCERTEZA!$C$12),INCERTEZA!$D$12,IF(AND(I20=INCERTEZA!$B$13,J20=INCERTEZA!$C$13),INCERTEZA!$D$13,IF(AND(I20=INCERTEZA!$B$14,J20=INCERTEZA!$C$14),INCERTEZA!$D$14,IF(AND(I20=INCERTEZA!$B$15,J20=INCERTEZA!$C$15),INCERTEZA!$D$15,IF(AND(I20=INCERTEZA!$B$16,J20=INCERTEZA!$C$16),INCERTEZA!$D$16,IF(AND(I20=INCERTEZA!$B$17,J20=INCERTEZA!$C$17),INCERTEZA!$D$17,"-")))))))))))))))</f>
        <v>-</v>
      </c>
      <c r="L20" s="33" t="e">
        <f>AEP!CX25</f>
        <v>#N/A</v>
      </c>
      <c r="M20" s="34" t="e">
        <f>AEP!CO25</f>
        <v>#N/A</v>
      </c>
      <c r="N20" s="55" t="e">
        <f>IF(AND(L20=monitoramento!$C$4,M20=monitoramento!$D$4),monitoramento!$E$4,IF(AND(L20=monitoramento!$C$5,M20=monitoramento!$D$5),monitoramento!$E$5,IF(AND(L20=monitoramento!$C$6,M20=monitoramento!$D$6),monitoramento!$E$6,IF(AND(L20=monitoramento!$C$7,M20=monitoramento!$D$7),monitoramento!$E$7,IF(AND(L20=monitoramento!$C$8,M20=monitoramento!$D$8),monitoramento!$E$8,IF(AND(L20=monitoramento!$C$9,M20=monitoramento!$D$9),monitoramento!$E$9,IF(AND(L20=monitoramento!$C$10,M20=monitoramento!$D$10),monitoramento!$E$10,IF(AND(L20=monitoramento!$C$11,M20=monitoramento!$D$11),monitoramento!$E$11,IF(AND(L20=monitoramento!$C$12,M20=monitoramento!$D$12),monitoramento!$E$12,IF(AND(L20=monitoramento!$C$13,M20=monitoramento!$D$13),monitoramento!$E$13,IF(AND(L20=monitoramento!$C$14,M20=monitoramento!$D$14),monitoramento!$E$14,IF(AND(L20=monitoramento!$C$15,M20=monitoramento!$D$15),monitoramento!$E$15,IF(AND(L20=monitoramento!$C$16,M20=monitoramento!$D$16),monitoramento!$E$16,IF(AND(L20=monitoramento!$C$17,M20=monitoramento!$D$17),monitoramento!$E$17,IF(AND(L20=monitoramento!$C$18,M20=monitoramento!$D$18),monitoramento!$E$18,IF(AND(L20=monitoramento!$C$19,M20=monitoramento!$D$19),monitoramento!$E$19))))))))))))))))</f>
        <v>#N/A</v>
      </c>
      <c r="O20" s="55"/>
      <c r="P20" s="55"/>
    </row>
    <row r="21" spans="8:16" ht="25.9" customHeight="1" thickBot="1" x14ac:dyDescent="0.25">
      <c r="H21" s="29" t="str">
        <f>AEP!BF26</f>
        <v/>
      </c>
      <c r="I21" s="30" t="str">
        <f>AEP!BI26</f>
        <v/>
      </c>
      <c r="J21" s="31">
        <f>AEP!BM26</f>
        <v>0</v>
      </c>
      <c r="K21" s="32" t="str">
        <f>IF(AND(I21=INCERTEZA!$B$3,J21=INCERTEZA!$C$3),INCERTEZA!$D$3,IF(AND(I21=INCERTEZA!$B$4,J21=INCERTEZA!$C$4),INCERTEZA!$D$4,IF(AND(I21=INCERTEZA!$B$5,J21=INCERTEZA!$C$5),INCERTEZA!$D$5,IF(AND(I21=INCERTEZA!$B$6,J21=INCERTEZA!$C$6),INCERTEZA!$D$6,IF(AND(I21=INCERTEZA!$B$7,J21=INCERTEZA!$C$7),INCERTEZA!$D$7,IF(AND(I21=INCERTEZA!$B$8,J21=INCERTEZA!$C$8),INCERTEZA!$D$8,IF(AND(I21=INCERTEZA!$B$9,J21=INCERTEZA!$C$9),INCERTEZA!$D$9,IF(AND(I21=INCERTEZA!$B$10,J21=INCERTEZA!$C$10),INCERTEZA!$D$10,IF(AND(I21=INCERTEZA!$B$11,J21=INCERTEZA!$C$11),INCERTEZA!$D$11,IF(AND(I21=INCERTEZA!$B$12,J21=INCERTEZA!$C$12),INCERTEZA!$D$12,IF(AND(I21=INCERTEZA!$B$13,J21=INCERTEZA!$C$13),INCERTEZA!$D$13,IF(AND(I21=INCERTEZA!$B$14,J21=INCERTEZA!$C$14),INCERTEZA!$D$14,IF(AND(I21=INCERTEZA!$B$15,J21=INCERTEZA!$C$15),INCERTEZA!$D$15,IF(AND(I21=INCERTEZA!$B$16,J21=INCERTEZA!$C$16),INCERTEZA!$D$16,IF(AND(I21=INCERTEZA!$B$17,J21=INCERTEZA!$C$17),INCERTEZA!$D$17,"-")))))))))))))))</f>
        <v>-</v>
      </c>
      <c r="L21" s="33" t="e">
        <f>AEP!CX26</f>
        <v>#N/A</v>
      </c>
      <c r="M21" s="34" t="e">
        <f>AEP!CO26</f>
        <v>#N/A</v>
      </c>
      <c r="N21" s="55" t="e">
        <f>IF(AND(L21=monitoramento!$C$4,M21=monitoramento!$D$4),monitoramento!$E$4,IF(AND(L21=monitoramento!$C$5,M21=monitoramento!$D$5),monitoramento!$E$5,IF(AND(L21=monitoramento!$C$6,M21=monitoramento!$D$6),monitoramento!$E$6,IF(AND(L21=monitoramento!$C$7,M21=monitoramento!$D$7),monitoramento!$E$7,IF(AND(L21=monitoramento!$C$8,M21=monitoramento!$D$8),monitoramento!$E$8,IF(AND(L21=monitoramento!$C$9,M21=monitoramento!$D$9),monitoramento!$E$9,IF(AND(L21=monitoramento!$C$10,M21=monitoramento!$D$10),monitoramento!$E$10,IF(AND(L21=monitoramento!$C$11,M21=monitoramento!$D$11),monitoramento!$E$11,IF(AND(L21=monitoramento!$C$12,M21=monitoramento!$D$12),monitoramento!$E$12,IF(AND(L21=monitoramento!$C$13,M21=monitoramento!$D$13),monitoramento!$E$13,IF(AND(L21=monitoramento!$C$14,M21=monitoramento!$D$14),monitoramento!$E$14,IF(AND(L21=monitoramento!$C$15,M21=monitoramento!$D$15),monitoramento!$E$15,IF(AND(L21=monitoramento!$C$16,M21=monitoramento!$D$16),monitoramento!$E$16,IF(AND(L21=monitoramento!$C$17,M21=monitoramento!$D$17),monitoramento!$E$17,IF(AND(L21=monitoramento!$C$18,M21=monitoramento!$D$18),monitoramento!$E$18,IF(AND(L21=monitoramento!$C$19,M21=monitoramento!$D$19),monitoramento!$E$19))))))))))))))))</f>
        <v>#N/A</v>
      </c>
      <c r="O21" s="55"/>
      <c r="P21" s="55"/>
    </row>
    <row r="22" spans="8:16" ht="25.9" customHeight="1" thickBot="1" x14ac:dyDescent="0.25">
      <c r="H22" s="29">
        <f>AEP!BF27</f>
        <v>0</v>
      </c>
      <c r="I22" s="30">
        <f>AEP!BI27</f>
        <v>0</v>
      </c>
      <c r="J22" s="31">
        <f>AEP!BM27</f>
        <v>0</v>
      </c>
      <c r="K22" s="32" t="str">
        <f>IF(AND(I22=INCERTEZA!$B$3,J22=INCERTEZA!$C$3),INCERTEZA!$D$3,IF(AND(I22=INCERTEZA!$B$4,J22=INCERTEZA!$C$4),INCERTEZA!$D$4,IF(AND(I22=INCERTEZA!$B$5,J22=INCERTEZA!$C$5),INCERTEZA!$D$5,IF(AND(I22=INCERTEZA!$B$6,J22=INCERTEZA!$C$6),INCERTEZA!$D$6,IF(AND(I22=INCERTEZA!$B$7,J22=INCERTEZA!$C$7),INCERTEZA!$D$7,IF(AND(I22=INCERTEZA!$B$8,J22=INCERTEZA!$C$8),INCERTEZA!$D$8,IF(AND(I22=INCERTEZA!$B$9,J22=INCERTEZA!$C$9),INCERTEZA!$D$9,IF(AND(I22=INCERTEZA!$B$10,J22=INCERTEZA!$C$10),INCERTEZA!$D$10,IF(AND(I22=INCERTEZA!$B$11,J22=INCERTEZA!$C$11),INCERTEZA!$D$11,IF(AND(I22=INCERTEZA!$B$12,J22=INCERTEZA!$C$12),INCERTEZA!$D$12,IF(AND(I22=INCERTEZA!$B$13,J22=INCERTEZA!$C$13),INCERTEZA!$D$13,IF(AND(I22=INCERTEZA!$B$14,J22=INCERTEZA!$C$14),INCERTEZA!$D$14,IF(AND(I22=INCERTEZA!$B$15,J22=INCERTEZA!$C$15),INCERTEZA!$D$15,IF(AND(I22=INCERTEZA!$B$16,J22=INCERTEZA!$C$16),INCERTEZA!$D$16,IF(AND(I22=INCERTEZA!$B$17,J22=INCERTEZA!$C$17),INCERTEZA!$D$17,"-")))))))))))))))</f>
        <v>-</v>
      </c>
      <c r="L22" s="33">
        <f>AEP!CX27</f>
        <v>0</v>
      </c>
      <c r="M22" s="34">
        <f>AEP!CO27</f>
        <v>0</v>
      </c>
      <c r="N22" s="55" t="b">
        <f>IF(AND(L22=monitoramento!$C$4,M22=monitoramento!$D$4),monitoramento!$E$4,IF(AND(L22=monitoramento!$C$5,M22=monitoramento!$D$5),monitoramento!$E$5,IF(AND(L22=monitoramento!$C$6,M22=monitoramento!$D$6),monitoramento!$E$6,IF(AND(L22=monitoramento!$C$7,M22=monitoramento!$D$7),monitoramento!$E$7,IF(AND(L22=monitoramento!$C$8,M22=monitoramento!$D$8),monitoramento!$E$8,IF(AND(L22=monitoramento!$C$9,M22=monitoramento!$D$9),monitoramento!$E$9,IF(AND(L22=monitoramento!$C$10,M22=monitoramento!$D$10),monitoramento!$E$10,IF(AND(L22=monitoramento!$C$11,M22=monitoramento!$D$11),monitoramento!$E$11,IF(AND(L22=monitoramento!$C$12,M22=monitoramento!$D$12),monitoramento!$E$12,IF(AND(L22=monitoramento!$C$13,M22=monitoramento!$D$13),monitoramento!$E$13,IF(AND(L22=monitoramento!$C$14,M22=monitoramento!$D$14),monitoramento!$E$14,IF(AND(L22=monitoramento!$C$15,M22=monitoramento!$D$15),monitoramento!$E$15,IF(AND(L22=monitoramento!$C$16,M22=monitoramento!$D$16),monitoramento!$E$16,IF(AND(L22=monitoramento!$C$17,M22=monitoramento!$D$17),monitoramento!$E$17,IF(AND(L22=monitoramento!$C$18,M22=monitoramento!$D$18),monitoramento!$E$18,IF(AND(L22=monitoramento!$C$19,M22=monitoramento!$D$19),monitoramento!$E$19))))))))))))))))</f>
        <v>0</v>
      </c>
      <c r="O22" s="55"/>
      <c r="P22" s="55"/>
    </row>
    <row r="23" spans="8:16" ht="25.9" customHeight="1" thickBot="1" x14ac:dyDescent="0.25">
      <c r="H23" s="29">
        <f>AEP!BF28</f>
        <v>0</v>
      </c>
      <c r="I23" s="30">
        <f>AEP!BI28</f>
        <v>0</v>
      </c>
      <c r="J23" s="31">
        <f>AEP!BM28</f>
        <v>0</v>
      </c>
      <c r="K23" s="32" t="str">
        <f>IF(AND(I23=INCERTEZA!$B$3,J23=INCERTEZA!$C$3),INCERTEZA!$D$3,IF(AND(I23=INCERTEZA!$B$4,J23=INCERTEZA!$C$4),INCERTEZA!$D$4,IF(AND(I23=INCERTEZA!$B$5,J23=INCERTEZA!$C$5),INCERTEZA!$D$5,IF(AND(I23=INCERTEZA!$B$6,J23=INCERTEZA!$C$6),INCERTEZA!$D$6,IF(AND(I23=INCERTEZA!$B$7,J23=INCERTEZA!$C$7),INCERTEZA!$D$7,IF(AND(I23=INCERTEZA!$B$8,J23=INCERTEZA!$C$8),INCERTEZA!$D$8,IF(AND(I23=INCERTEZA!$B$9,J23=INCERTEZA!$C$9),INCERTEZA!$D$9,IF(AND(I23=INCERTEZA!$B$10,J23=INCERTEZA!$C$10),INCERTEZA!$D$10,IF(AND(I23=INCERTEZA!$B$11,J23=INCERTEZA!$C$11),INCERTEZA!$D$11,IF(AND(I23=INCERTEZA!$B$12,J23=INCERTEZA!$C$12),INCERTEZA!$D$12,IF(AND(I23=INCERTEZA!$B$13,J23=INCERTEZA!$C$13),INCERTEZA!$D$13,IF(AND(I23=INCERTEZA!$B$14,J23=INCERTEZA!$C$14),INCERTEZA!$D$14,IF(AND(I23=INCERTEZA!$B$15,J23=INCERTEZA!$C$15),INCERTEZA!$D$15,IF(AND(I23=INCERTEZA!$B$16,J23=INCERTEZA!$C$16),INCERTEZA!$D$16,IF(AND(I23=INCERTEZA!$B$17,J23=INCERTEZA!$C$17),INCERTEZA!$D$17,"-")))))))))))))))</f>
        <v>-</v>
      </c>
      <c r="L23" s="33">
        <f>AEP!CX28</f>
        <v>0</v>
      </c>
      <c r="M23" s="34">
        <f>AEP!CO28</f>
        <v>0</v>
      </c>
      <c r="N23" s="55" t="b">
        <f>IF(AND(L23=monitoramento!$C$4,M23=monitoramento!$D$4),monitoramento!$E$4,IF(AND(L23=monitoramento!$C$5,M23=monitoramento!$D$5),monitoramento!$E$5,IF(AND(L23=monitoramento!$C$6,M23=monitoramento!$D$6),monitoramento!$E$6,IF(AND(L23=monitoramento!$C$7,M23=monitoramento!$D$7),monitoramento!$E$7,IF(AND(L23=monitoramento!$C$8,M23=monitoramento!$D$8),monitoramento!$E$8,IF(AND(L23=monitoramento!$C$9,M23=monitoramento!$D$9),monitoramento!$E$9,IF(AND(L23=monitoramento!$C$10,M23=monitoramento!$D$10),monitoramento!$E$10,IF(AND(L23=monitoramento!$C$11,M23=monitoramento!$D$11),monitoramento!$E$11,IF(AND(L23=monitoramento!$C$12,M23=monitoramento!$D$12),monitoramento!$E$12,IF(AND(L23=monitoramento!$C$13,M23=monitoramento!$D$13),monitoramento!$E$13,IF(AND(L23=monitoramento!$C$14,M23=monitoramento!$D$14),monitoramento!$E$14,IF(AND(L23=monitoramento!$C$15,M23=monitoramento!$D$15),monitoramento!$E$15,IF(AND(L23=monitoramento!$C$16,M23=monitoramento!$D$16),monitoramento!$E$16,IF(AND(L23=monitoramento!$C$17,M23=monitoramento!$D$17),monitoramento!$E$17,IF(AND(L23=monitoramento!$C$18,M23=monitoramento!$D$18),monitoramento!$E$18,IF(AND(L23=monitoramento!$C$19,M23=monitoramento!$D$19),monitoramento!$E$19))))))))))))))))</f>
        <v>0</v>
      </c>
      <c r="O23" s="55"/>
      <c r="P23" s="55"/>
    </row>
    <row r="24" spans="8:16" ht="25.9" customHeight="1" thickBot="1" x14ac:dyDescent="0.25">
      <c r="H24" s="29">
        <f>AEP!BF29</f>
        <v>0</v>
      </c>
      <c r="I24" s="30">
        <f>AEP!BI29</f>
        <v>0</v>
      </c>
      <c r="J24" s="31">
        <f>AEP!BM29</f>
        <v>0</v>
      </c>
      <c r="K24" s="32" t="str">
        <f>IF(AND(I24=INCERTEZA!$B$3,J24=INCERTEZA!$C$3),INCERTEZA!$D$3,IF(AND(I24=INCERTEZA!$B$4,J24=INCERTEZA!$C$4),INCERTEZA!$D$4,IF(AND(I24=INCERTEZA!$B$5,J24=INCERTEZA!$C$5),INCERTEZA!$D$5,IF(AND(I24=INCERTEZA!$B$6,J24=INCERTEZA!$C$6),INCERTEZA!$D$6,IF(AND(I24=INCERTEZA!$B$7,J24=INCERTEZA!$C$7),INCERTEZA!$D$7,IF(AND(I24=INCERTEZA!$B$8,J24=INCERTEZA!$C$8),INCERTEZA!$D$8,IF(AND(I24=INCERTEZA!$B$9,J24=INCERTEZA!$C$9),INCERTEZA!$D$9,IF(AND(I24=INCERTEZA!$B$10,J24=INCERTEZA!$C$10),INCERTEZA!$D$10,IF(AND(I24=INCERTEZA!$B$11,J24=INCERTEZA!$C$11),INCERTEZA!$D$11,IF(AND(I24=INCERTEZA!$B$12,J24=INCERTEZA!$C$12),INCERTEZA!$D$12,IF(AND(I24=INCERTEZA!$B$13,J24=INCERTEZA!$C$13),INCERTEZA!$D$13,IF(AND(I24=INCERTEZA!$B$14,J24=INCERTEZA!$C$14),INCERTEZA!$D$14,IF(AND(I24=INCERTEZA!$B$15,J24=INCERTEZA!$C$15),INCERTEZA!$D$15,IF(AND(I24=INCERTEZA!$B$16,J24=INCERTEZA!$C$16),INCERTEZA!$D$16,IF(AND(I24=INCERTEZA!$B$17,J24=INCERTEZA!$C$17),INCERTEZA!$D$17,"-")))))))))))))))</f>
        <v>-</v>
      </c>
      <c r="L24" s="33">
        <f>AEP!CX29</f>
        <v>0</v>
      </c>
      <c r="M24" s="34">
        <f>AEP!CO29</f>
        <v>0</v>
      </c>
      <c r="N24" s="55" t="b">
        <f>IF(AND(L24=monitoramento!$C$4,M24=monitoramento!$D$4),monitoramento!$E$4,IF(AND(L24=monitoramento!$C$5,M24=monitoramento!$D$5),monitoramento!$E$5,IF(AND(L24=monitoramento!$C$6,M24=monitoramento!$D$6),monitoramento!$E$6,IF(AND(L24=monitoramento!$C$7,M24=monitoramento!$D$7),monitoramento!$E$7,IF(AND(L24=monitoramento!$C$8,M24=monitoramento!$D$8),monitoramento!$E$8,IF(AND(L24=monitoramento!$C$9,M24=monitoramento!$D$9),monitoramento!$E$9,IF(AND(L24=monitoramento!$C$10,M24=monitoramento!$D$10),monitoramento!$E$10,IF(AND(L24=monitoramento!$C$11,M24=monitoramento!$D$11),monitoramento!$E$11,IF(AND(L24=monitoramento!$C$12,M24=monitoramento!$D$12),monitoramento!$E$12,IF(AND(L24=monitoramento!$C$13,M24=monitoramento!$D$13),monitoramento!$E$13,IF(AND(L24=monitoramento!$C$14,M24=monitoramento!$D$14),monitoramento!$E$14,IF(AND(L24=monitoramento!$C$15,M24=monitoramento!$D$15),monitoramento!$E$15,IF(AND(L24=monitoramento!$C$16,M24=monitoramento!$D$16),monitoramento!$E$16,IF(AND(L24=monitoramento!$C$17,M24=monitoramento!$D$17),monitoramento!$E$17,IF(AND(L24=monitoramento!$C$18,M24=monitoramento!$D$18),monitoramento!$E$18,IF(AND(L24=monitoramento!$C$19,M24=monitoramento!$D$19),monitoramento!$E$19))))))))))))))))</f>
        <v>0</v>
      </c>
      <c r="O24" s="55"/>
      <c r="P24" s="55"/>
    </row>
    <row r="25" spans="8:16" ht="25.9" customHeight="1" thickBot="1" x14ac:dyDescent="0.25">
      <c r="H25" s="29">
        <f>AEP!BF30</f>
        <v>0</v>
      </c>
      <c r="I25" s="30">
        <f>AEP!BI30</f>
        <v>0</v>
      </c>
      <c r="J25" s="31">
        <f>AEP!BM30</f>
        <v>0</v>
      </c>
      <c r="K25" s="32" t="str">
        <f>IF(AND(I25=INCERTEZA!$B$3,J25=INCERTEZA!$C$3),INCERTEZA!$D$3,IF(AND(I25=INCERTEZA!$B$4,J25=INCERTEZA!$C$4),INCERTEZA!$D$4,IF(AND(I25=INCERTEZA!$B$5,J25=INCERTEZA!$C$5),INCERTEZA!$D$5,IF(AND(I25=INCERTEZA!$B$6,J25=INCERTEZA!$C$6),INCERTEZA!$D$6,IF(AND(I25=INCERTEZA!$B$7,J25=INCERTEZA!$C$7),INCERTEZA!$D$7,IF(AND(I25=INCERTEZA!$B$8,J25=INCERTEZA!$C$8),INCERTEZA!$D$8,IF(AND(I25=INCERTEZA!$B$9,J25=INCERTEZA!$C$9),INCERTEZA!$D$9,IF(AND(I25=INCERTEZA!$B$10,J25=INCERTEZA!$C$10),INCERTEZA!$D$10,IF(AND(I25=INCERTEZA!$B$11,J25=INCERTEZA!$C$11),INCERTEZA!$D$11,IF(AND(I25=INCERTEZA!$B$12,J25=INCERTEZA!$C$12),INCERTEZA!$D$12,IF(AND(I25=INCERTEZA!$B$13,J25=INCERTEZA!$C$13),INCERTEZA!$D$13,IF(AND(I25=INCERTEZA!$B$14,J25=INCERTEZA!$C$14),INCERTEZA!$D$14,IF(AND(I25=INCERTEZA!$B$15,J25=INCERTEZA!$C$15),INCERTEZA!$D$15,IF(AND(I25=INCERTEZA!$B$16,J25=INCERTEZA!$C$16),INCERTEZA!$D$16,IF(AND(I25=INCERTEZA!$B$17,J25=INCERTEZA!$C$17),INCERTEZA!$D$17,"-")))))))))))))))</f>
        <v>-</v>
      </c>
      <c r="L25" s="33">
        <f>AEP!CX30</f>
        <v>0</v>
      </c>
      <c r="M25" s="34">
        <f>AEP!CO30</f>
        <v>0</v>
      </c>
      <c r="N25" s="55" t="b">
        <f>IF(AND(L25=monitoramento!$C$4,M25=monitoramento!$D$4),monitoramento!$E$4,IF(AND(L25=monitoramento!$C$5,M25=monitoramento!$D$5),monitoramento!$E$5,IF(AND(L25=monitoramento!$C$6,M25=monitoramento!$D$6),monitoramento!$E$6,IF(AND(L25=monitoramento!$C$7,M25=monitoramento!$D$7),monitoramento!$E$7,IF(AND(L25=monitoramento!$C$8,M25=monitoramento!$D$8),monitoramento!$E$8,IF(AND(L25=monitoramento!$C$9,M25=monitoramento!$D$9),monitoramento!$E$9,IF(AND(L25=monitoramento!$C$10,M25=monitoramento!$D$10),monitoramento!$E$10,IF(AND(L25=monitoramento!$C$11,M25=monitoramento!$D$11),monitoramento!$E$11,IF(AND(L25=monitoramento!$C$12,M25=monitoramento!$D$12),monitoramento!$E$12,IF(AND(L25=monitoramento!$C$13,M25=monitoramento!$D$13),monitoramento!$E$13,IF(AND(L25=monitoramento!$C$14,M25=monitoramento!$D$14),monitoramento!$E$14,IF(AND(L25=monitoramento!$C$15,M25=monitoramento!$D$15),monitoramento!$E$15,IF(AND(L25=monitoramento!$C$16,M25=monitoramento!$D$16),monitoramento!$E$16,IF(AND(L25=monitoramento!$C$17,M25=monitoramento!$D$17),monitoramento!$E$17,IF(AND(L25=monitoramento!$C$18,M25=monitoramento!$D$18),monitoramento!$E$18,IF(AND(L25=monitoramento!$C$19,M25=monitoramento!$D$19),monitoramento!$E$19))))))))))))))))</f>
        <v>0</v>
      </c>
      <c r="O25" s="55"/>
      <c r="P25" s="55"/>
    </row>
    <row r="26" spans="8:16" ht="25.9" customHeight="1" thickBot="1" x14ac:dyDescent="0.25">
      <c r="H26" s="29">
        <f>AEP!BF31</f>
        <v>0</v>
      </c>
      <c r="I26" s="30">
        <f>AEP!BI31</f>
        <v>0</v>
      </c>
      <c r="J26" s="31">
        <f>AEP!BM31</f>
        <v>0</v>
      </c>
      <c r="K26" s="32" t="str">
        <f>IF(AND(I26=INCERTEZA!$B$3,J26=INCERTEZA!$C$3),INCERTEZA!$D$3,IF(AND(I26=INCERTEZA!$B$4,J26=INCERTEZA!$C$4),INCERTEZA!$D$4,IF(AND(I26=INCERTEZA!$B$5,J26=INCERTEZA!$C$5),INCERTEZA!$D$5,IF(AND(I26=INCERTEZA!$B$6,J26=INCERTEZA!$C$6),INCERTEZA!$D$6,IF(AND(I26=INCERTEZA!$B$7,J26=INCERTEZA!$C$7),INCERTEZA!$D$7,IF(AND(I26=INCERTEZA!$B$8,J26=INCERTEZA!$C$8),INCERTEZA!$D$8,IF(AND(I26=INCERTEZA!$B$9,J26=INCERTEZA!$C$9),INCERTEZA!$D$9,IF(AND(I26=INCERTEZA!$B$10,J26=INCERTEZA!$C$10),INCERTEZA!$D$10,IF(AND(I26=INCERTEZA!$B$11,J26=INCERTEZA!$C$11),INCERTEZA!$D$11,IF(AND(I26=INCERTEZA!$B$12,J26=INCERTEZA!$C$12),INCERTEZA!$D$12,IF(AND(I26=INCERTEZA!$B$13,J26=INCERTEZA!$C$13),INCERTEZA!$D$13,IF(AND(I26=INCERTEZA!$B$14,J26=INCERTEZA!$C$14),INCERTEZA!$D$14,IF(AND(I26=INCERTEZA!$B$15,J26=INCERTEZA!$C$15),INCERTEZA!$D$15,IF(AND(I26=INCERTEZA!$B$16,J26=INCERTEZA!$C$16),INCERTEZA!$D$16,IF(AND(I26=INCERTEZA!$B$17,J26=INCERTEZA!$C$17),INCERTEZA!$D$17,"-")))))))))))))))</f>
        <v>-</v>
      </c>
      <c r="L26" s="33">
        <f>AEP!CX31</f>
        <v>0</v>
      </c>
      <c r="M26" s="34">
        <f>AEP!CO31</f>
        <v>0</v>
      </c>
      <c r="N26" s="55" t="b">
        <f>IF(AND(L26=monitoramento!$C$4,M26=monitoramento!$D$4),monitoramento!$E$4,IF(AND(L26=monitoramento!$C$5,M26=monitoramento!$D$5),monitoramento!$E$5,IF(AND(L26=monitoramento!$C$6,M26=monitoramento!$D$6),monitoramento!$E$6,IF(AND(L26=monitoramento!$C$7,M26=monitoramento!$D$7),monitoramento!$E$7,IF(AND(L26=monitoramento!$C$8,M26=monitoramento!$D$8),monitoramento!$E$8,IF(AND(L26=monitoramento!$C$9,M26=monitoramento!$D$9),monitoramento!$E$9,IF(AND(L26=monitoramento!$C$10,M26=monitoramento!$D$10),monitoramento!$E$10,IF(AND(L26=monitoramento!$C$11,M26=monitoramento!$D$11),monitoramento!$E$11,IF(AND(L26=monitoramento!$C$12,M26=monitoramento!$D$12),monitoramento!$E$12,IF(AND(L26=monitoramento!$C$13,M26=monitoramento!$D$13),monitoramento!$E$13,IF(AND(L26=monitoramento!$C$14,M26=monitoramento!$D$14),monitoramento!$E$14,IF(AND(L26=monitoramento!$C$15,M26=monitoramento!$D$15),monitoramento!$E$15,IF(AND(L26=monitoramento!$C$16,M26=monitoramento!$D$16),monitoramento!$E$16,IF(AND(L26=monitoramento!$C$17,M26=monitoramento!$D$17),monitoramento!$E$17,IF(AND(L26=monitoramento!$C$18,M26=monitoramento!$D$18),monitoramento!$E$18,IF(AND(L26=monitoramento!$C$19,M26=monitoramento!$D$19),monitoramento!$E$19))))))))))))))))</f>
        <v>0</v>
      </c>
      <c r="O26" s="55"/>
      <c r="P26" s="55"/>
    </row>
    <row r="27" spans="8:16" ht="25.9" customHeight="1" thickBot="1" x14ac:dyDescent="0.25">
      <c r="H27" s="29">
        <f>AEP!BF32</f>
        <v>0</v>
      </c>
      <c r="I27" s="30">
        <f>AEP!BI32</f>
        <v>0</v>
      </c>
      <c r="J27" s="31">
        <f>AEP!BM32</f>
        <v>0</v>
      </c>
      <c r="K27" s="32" t="str">
        <f>IF(AND(I27=INCERTEZA!$B$3,J27=INCERTEZA!$C$3),INCERTEZA!$D$3,IF(AND(I27=INCERTEZA!$B$4,J27=INCERTEZA!$C$4),INCERTEZA!$D$4,IF(AND(I27=INCERTEZA!$B$5,J27=INCERTEZA!$C$5),INCERTEZA!$D$5,IF(AND(I27=INCERTEZA!$B$6,J27=INCERTEZA!$C$6),INCERTEZA!$D$6,IF(AND(I27=INCERTEZA!$B$7,J27=INCERTEZA!$C$7),INCERTEZA!$D$7,IF(AND(I27=INCERTEZA!$B$8,J27=INCERTEZA!$C$8),INCERTEZA!$D$8,IF(AND(I27=INCERTEZA!$B$9,J27=INCERTEZA!$C$9),INCERTEZA!$D$9,IF(AND(I27=INCERTEZA!$B$10,J27=INCERTEZA!$C$10),INCERTEZA!$D$10,IF(AND(I27=INCERTEZA!$B$11,J27=INCERTEZA!$C$11),INCERTEZA!$D$11,IF(AND(I27=INCERTEZA!$B$12,J27=INCERTEZA!$C$12),INCERTEZA!$D$12,IF(AND(I27=INCERTEZA!$B$13,J27=INCERTEZA!$C$13),INCERTEZA!$D$13,IF(AND(I27=INCERTEZA!$B$14,J27=INCERTEZA!$C$14),INCERTEZA!$D$14,IF(AND(I27=INCERTEZA!$B$15,J27=INCERTEZA!$C$15),INCERTEZA!$D$15,IF(AND(I27=INCERTEZA!$B$16,J27=INCERTEZA!$C$16),INCERTEZA!$D$16,IF(AND(I27=INCERTEZA!$B$17,J27=INCERTEZA!$C$17),INCERTEZA!$D$17,"-")))))))))))))))</f>
        <v>-</v>
      </c>
      <c r="L27" s="33">
        <f>AEP!CX32</f>
        <v>0</v>
      </c>
      <c r="M27" s="34">
        <f>AEP!CO32</f>
        <v>0</v>
      </c>
      <c r="N27" s="55" t="b">
        <f>IF(AND(L27=monitoramento!$C$4,M27=monitoramento!$D$4),monitoramento!$E$4,IF(AND(L27=monitoramento!$C$5,M27=monitoramento!$D$5),monitoramento!$E$5,IF(AND(L27=monitoramento!$C$6,M27=monitoramento!$D$6),monitoramento!$E$6,IF(AND(L27=monitoramento!$C$7,M27=monitoramento!$D$7),monitoramento!$E$7,IF(AND(L27=monitoramento!$C$8,M27=monitoramento!$D$8),monitoramento!$E$8,IF(AND(L27=monitoramento!$C$9,M27=monitoramento!$D$9),monitoramento!$E$9,IF(AND(L27=monitoramento!$C$10,M27=monitoramento!$D$10),monitoramento!$E$10,IF(AND(L27=monitoramento!$C$11,M27=monitoramento!$D$11),monitoramento!$E$11,IF(AND(L27=monitoramento!$C$12,M27=monitoramento!$D$12),monitoramento!$E$12,IF(AND(L27=monitoramento!$C$13,M27=monitoramento!$D$13),monitoramento!$E$13,IF(AND(L27=monitoramento!$C$14,M27=monitoramento!$D$14),monitoramento!$E$14,IF(AND(L27=monitoramento!$C$15,M27=monitoramento!$D$15),monitoramento!$E$15,IF(AND(L27=monitoramento!$C$16,M27=monitoramento!$D$16),monitoramento!$E$16,IF(AND(L27=monitoramento!$C$17,M27=monitoramento!$D$17),monitoramento!$E$17,IF(AND(L27=monitoramento!$C$18,M27=monitoramento!$D$18),monitoramento!$E$18,IF(AND(L27=monitoramento!$C$19,M27=monitoramento!$D$19),monitoramento!$E$19))))))))))))))))</f>
        <v>0</v>
      </c>
      <c r="O27" s="55"/>
      <c r="P27" s="55"/>
    </row>
    <row r="28" spans="8:16" ht="25.9" customHeight="1" thickBot="1" x14ac:dyDescent="0.25">
      <c r="H28" s="29">
        <f>AEP!BF33</f>
        <v>0</v>
      </c>
      <c r="I28" s="30">
        <f>AEP!BI33</f>
        <v>0</v>
      </c>
      <c r="J28" s="31">
        <f>AEP!BM33</f>
        <v>0</v>
      </c>
      <c r="K28" s="32" t="str">
        <f>IF(AND(I28=INCERTEZA!$B$3,J28=INCERTEZA!$C$3),INCERTEZA!$D$3,IF(AND(I28=INCERTEZA!$B$4,J28=INCERTEZA!$C$4),INCERTEZA!$D$4,IF(AND(I28=INCERTEZA!$B$5,J28=INCERTEZA!$C$5),INCERTEZA!$D$5,IF(AND(I28=INCERTEZA!$B$6,J28=INCERTEZA!$C$6),INCERTEZA!$D$6,IF(AND(I28=INCERTEZA!$B$7,J28=INCERTEZA!$C$7),INCERTEZA!$D$7,IF(AND(I28=INCERTEZA!$B$8,J28=INCERTEZA!$C$8),INCERTEZA!$D$8,IF(AND(I28=INCERTEZA!$B$9,J28=INCERTEZA!$C$9),INCERTEZA!$D$9,IF(AND(I28=INCERTEZA!$B$10,J28=INCERTEZA!$C$10),INCERTEZA!$D$10,IF(AND(I28=INCERTEZA!$B$11,J28=INCERTEZA!$C$11),INCERTEZA!$D$11,IF(AND(I28=INCERTEZA!$B$12,J28=INCERTEZA!$C$12),INCERTEZA!$D$12,IF(AND(I28=INCERTEZA!$B$13,J28=INCERTEZA!$C$13),INCERTEZA!$D$13,IF(AND(I28=INCERTEZA!$B$14,J28=INCERTEZA!$C$14),INCERTEZA!$D$14,IF(AND(I28=INCERTEZA!$B$15,J28=INCERTEZA!$C$15),INCERTEZA!$D$15,IF(AND(I28=INCERTEZA!$B$16,J28=INCERTEZA!$C$16),INCERTEZA!$D$16,IF(AND(I28=INCERTEZA!$B$17,J28=INCERTEZA!$C$17),INCERTEZA!$D$17,"-")))))))))))))))</f>
        <v>-</v>
      </c>
      <c r="L28" s="33">
        <f>AEP!CX33</f>
        <v>0</v>
      </c>
      <c r="M28" s="34">
        <f>AEP!CO33</f>
        <v>0</v>
      </c>
      <c r="N28" s="55" t="b">
        <f>IF(AND(L28=monitoramento!$C$4,M28=monitoramento!$D$4),monitoramento!$E$4,IF(AND(L28=monitoramento!$C$5,M28=monitoramento!$D$5),monitoramento!$E$5,IF(AND(L28=monitoramento!$C$6,M28=monitoramento!$D$6),monitoramento!$E$6,IF(AND(L28=monitoramento!$C$7,M28=monitoramento!$D$7),monitoramento!$E$7,IF(AND(L28=monitoramento!$C$8,M28=monitoramento!$D$8),monitoramento!$E$8,IF(AND(L28=monitoramento!$C$9,M28=monitoramento!$D$9),monitoramento!$E$9,IF(AND(L28=monitoramento!$C$10,M28=monitoramento!$D$10),monitoramento!$E$10,IF(AND(L28=monitoramento!$C$11,M28=monitoramento!$D$11),monitoramento!$E$11,IF(AND(L28=monitoramento!$C$12,M28=monitoramento!$D$12),monitoramento!$E$12,IF(AND(L28=monitoramento!$C$13,M28=monitoramento!$D$13),monitoramento!$E$13,IF(AND(L28=monitoramento!$C$14,M28=monitoramento!$D$14),monitoramento!$E$14,IF(AND(L28=monitoramento!$C$15,M28=monitoramento!$D$15),monitoramento!$E$15,IF(AND(L28=monitoramento!$C$16,M28=monitoramento!$D$16),monitoramento!$E$16,IF(AND(L28=monitoramento!$C$17,M28=monitoramento!$D$17),monitoramento!$E$17,IF(AND(L28=monitoramento!$C$18,M28=monitoramento!$D$18),monitoramento!$E$18,IF(AND(L28=monitoramento!$C$19,M28=monitoramento!$D$19),monitoramento!$E$19))))))))))))))))</f>
        <v>0</v>
      </c>
      <c r="O28" s="55"/>
      <c r="P28" s="55"/>
    </row>
    <row r="29" spans="8:16" ht="25.9" customHeight="1" thickBot="1" x14ac:dyDescent="0.25">
      <c r="H29" s="29">
        <f>AEP!BF34</f>
        <v>0</v>
      </c>
      <c r="I29" s="30">
        <f>AEP!BI34</f>
        <v>0</v>
      </c>
      <c r="J29" s="31">
        <f>AEP!BM34</f>
        <v>0</v>
      </c>
      <c r="K29" s="32" t="str">
        <f>IF(AND(I29=INCERTEZA!$B$3,J29=INCERTEZA!$C$3),INCERTEZA!$D$3,IF(AND(I29=INCERTEZA!$B$4,J29=INCERTEZA!$C$4),INCERTEZA!$D$4,IF(AND(I29=INCERTEZA!$B$5,J29=INCERTEZA!$C$5),INCERTEZA!$D$5,IF(AND(I29=INCERTEZA!$B$6,J29=INCERTEZA!$C$6),INCERTEZA!$D$6,IF(AND(I29=INCERTEZA!$B$7,J29=INCERTEZA!$C$7),INCERTEZA!$D$7,IF(AND(I29=INCERTEZA!$B$8,J29=INCERTEZA!$C$8),INCERTEZA!$D$8,IF(AND(I29=INCERTEZA!$B$9,J29=INCERTEZA!$C$9),INCERTEZA!$D$9,IF(AND(I29=INCERTEZA!$B$10,J29=INCERTEZA!$C$10),INCERTEZA!$D$10,IF(AND(I29=INCERTEZA!$B$11,J29=INCERTEZA!$C$11),INCERTEZA!$D$11,IF(AND(I29=INCERTEZA!$B$12,J29=INCERTEZA!$C$12),INCERTEZA!$D$12,IF(AND(I29=INCERTEZA!$B$13,J29=INCERTEZA!$C$13),INCERTEZA!$D$13,IF(AND(I29=INCERTEZA!$B$14,J29=INCERTEZA!$C$14),INCERTEZA!$D$14,IF(AND(I29=INCERTEZA!$B$15,J29=INCERTEZA!$C$15),INCERTEZA!$D$15,IF(AND(I29=INCERTEZA!$B$16,J29=INCERTEZA!$C$16),INCERTEZA!$D$16,IF(AND(I29=INCERTEZA!$B$17,J29=INCERTEZA!$C$17),INCERTEZA!$D$17,"-")))))))))))))))</f>
        <v>-</v>
      </c>
      <c r="L29" s="33">
        <f>AEP!CX34</f>
        <v>0</v>
      </c>
      <c r="M29" s="34">
        <f>AEP!CO34</f>
        <v>0</v>
      </c>
      <c r="N29" s="55" t="b">
        <f>IF(AND(L29=monitoramento!$C$4,M29=monitoramento!$D$4),monitoramento!$E$4,IF(AND(L29=monitoramento!$C$5,M29=monitoramento!$D$5),monitoramento!$E$5,IF(AND(L29=monitoramento!$C$6,M29=monitoramento!$D$6),monitoramento!$E$6,IF(AND(L29=monitoramento!$C$7,M29=monitoramento!$D$7),monitoramento!$E$7,IF(AND(L29=monitoramento!$C$8,M29=monitoramento!$D$8),monitoramento!$E$8,IF(AND(L29=monitoramento!$C$9,M29=monitoramento!$D$9),monitoramento!$E$9,IF(AND(L29=monitoramento!$C$10,M29=monitoramento!$D$10),monitoramento!$E$10,IF(AND(L29=monitoramento!$C$11,M29=monitoramento!$D$11),monitoramento!$E$11,IF(AND(L29=monitoramento!$C$12,M29=monitoramento!$D$12),monitoramento!$E$12,IF(AND(L29=monitoramento!$C$13,M29=monitoramento!$D$13),monitoramento!$E$13,IF(AND(L29=monitoramento!$C$14,M29=monitoramento!$D$14),monitoramento!$E$14,IF(AND(L29=monitoramento!$C$15,M29=monitoramento!$D$15),monitoramento!$E$15,IF(AND(L29=monitoramento!$C$16,M29=monitoramento!$D$16),monitoramento!$E$16,IF(AND(L29=monitoramento!$C$17,M29=monitoramento!$D$17),monitoramento!$E$17,IF(AND(L29=monitoramento!$C$18,M29=monitoramento!$D$18),monitoramento!$E$18,IF(AND(L29=monitoramento!$C$19,M29=monitoramento!$D$19),monitoramento!$E$19))))))))))))))))</f>
        <v>0</v>
      </c>
      <c r="O29" s="55"/>
      <c r="P29" s="55"/>
    </row>
    <row r="30" spans="8:16" ht="25.9" customHeight="1" thickBot="1" x14ac:dyDescent="0.25">
      <c r="H30" s="29">
        <f>AEP!BF35</f>
        <v>0</v>
      </c>
      <c r="I30" s="30">
        <f>AEP!BI35</f>
        <v>0</v>
      </c>
      <c r="J30" s="31">
        <f>AEP!BM35</f>
        <v>0</v>
      </c>
      <c r="K30" s="32" t="str">
        <f>IF(AND(I30=INCERTEZA!$B$3,J30=INCERTEZA!$C$3),INCERTEZA!$D$3,IF(AND(I30=INCERTEZA!$B$4,J30=INCERTEZA!$C$4),INCERTEZA!$D$4,IF(AND(I30=INCERTEZA!$B$5,J30=INCERTEZA!$C$5),INCERTEZA!$D$5,IF(AND(I30=INCERTEZA!$B$6,J30=INCERTEZA!$C$6),INCERTEZA!$D$6,IF(AND(I30=INCERTEZA!$B$7,J30=INCERTEZA!$C$7),INCERTEZA!$D$7,IF(AND(I30=INCERTEZA!$B$8,J30=INCERTEZA!$C$8),INCERTEZA!$D$8,IF(AND(I30=INCERTEZA!$B$9,J30=INCERTEZA!$C$9),INCERTEZA!$D$9,IF(AND(I30=INCERTEZA!$B$10,J30=INCERTEZA!$C$10),INCERTEZA!$D$10,IF(AND(I30=INCERTEZA!$B$11,J30=INCERTEZA!$C$11),INCERTEZA!$D$11,IF(AND(I30=INCERTEZA!$B$12,J30=INCERTEZA!$C$12),INCERTEZA!$D$12,IF(AND(I30=INCERTEZA!$B$13,J30=INCERTEZA!$C$13),INCERTEZA!$D$13,IF(AND(I30=INCERTEZA!$B$14,J30=INCERTEZA!$C$14),INCERTEZA!$D$14,IF(AND(I30=INCERTEZA!$B$15,J30=INCERTEZA!$C$15),INCERTEZA!$D$15,IF(AND(I30=INCERTEZA!$B$16,J30=INCERTEZA!$C$16),INCERTEZA!$D$16,IF(AND(I30=INCERTEZA!$B$17,J30=INCERTEZA!$C$17),INCERTEZA!$D$17,"-")))))))))))))))</f>
        <v>-</v>
      </c>
      <c r="L30" s="33">
        <f>AEP!CX35</f>
        <v>0</v>
      </c>
      <c r="M30" s="34">
        <f>AEP!CO35</f>
        <v>0</v>
      </c>
      <c r="N30" s="55" t="b">
        <f>IF(AND(L30=monitoramento!$C$4,M30=monitoramento!$D$4),monitoramento!$E$4,IF(AND(L30=monitoramento!$C$5,M30=monitoramento!$D$5),monitoramento!$E$5,IF(AND(L30=monitoramento!$C$6,M30=monitoramento!$D$6),monitoramento!$E$6,IF(AND(L30=monitoramento!$C$7,M30=monitoramento!$D$7),monitoramento!$E$7,IF(AND(L30=monitoramento!$C$8,M30=monitoramento!$D$8),monitoramento!$E$8,IF(AND(L30=monitoramento!$C$9,M30=monitoramento!$D$9),monitoramento!$E$9,IF(AND(L30=monitoramento!$C$10,M30=monitoramento!$D$10),monitoramento!$E$10,IF(AND(L30=monitoramento!$C$11,M30=monitoramento!$D$11),monitoramento!$E$11,IF(AND(L30=monitoramento!$C$12,M30=monitoramento!$D$12),monitoramento!$E$12,IF(AND(L30=monitoramento!$C$13,M30=monitoramento!$D$13),monitoramento!$E$13,IF(AND(L30=monitoramento!$C$14,M30=monitoramento!$D$14),monitoramento!$E$14,IF(AND(L30=monitoramento!$C$15,M30=monitoramento!$D$15),monitoramento!$E$15,IF(AND(L30=monitoramento!$C$16,M30=monitoramento!$D$16),monitoramento!$E$16,IF(AND(L30=monitoramento!$C$17,M30=monitoramento!$D$17),monitoramento!$E$17,IF(AND(L30=monitoramento!$C$18,M30=monitoramento!$D$18),monitoramento!$E$18,IF(AND(L30=monitoramento!$C$19,M30=monitoramento!$D$19),monitoramento!$E$19))))))))))))))))</f>
        <v>0</v>
      </c>
      <c r="O30" s="55"/>
      <c r="P30" s="55"/>
    </row>
    <row r="31" spans="8:16" ht="25.9" customHeight="1" thickBot="1" x14ac:dyDescent="0.25">
      <c r="H31" s="29">
        <f>AEP!BF36</f>
        <v>0</v>
      </c>
      <c r="I31" s="30">
        <f>AEP!BI36</f>
        <v>0</v>
      </c>
      <c r="J31" s="31">
        <f>AEP!BM36</f>
        <v>0</v>
      </c>
      <c r="K31" s="32" t="str">
        <f>IF(AND(I31=INCERTEZA!$B$3,J31=INCERTEZA!$C$3),INCERTEZA!$D$3,IF(AND(I31=INCERTEZA!$B$4,J31=INCERTEZA!$C$4),INCERTEZA!$D$4,IF(AND(I31=INCERTEZA!$B$5,J31=INCERTEZA!$C$5),INCERTEZA!$D$5,IF(AND(I31=INCERTEZA!$B$6,J31=INCERTEZA!$C$6),INCERTEZA!$D$6,IF(AND(I31=INCERTEZA!$B$7,J31=INCERTEZA!$C$7),INCERTEZA!$D$7,IF(AND(I31=INCERTEZA!$B$8,J31=INCERTEZA!$C$8),INCERTEZA!$D$8,IF(AND(I31=INCERTEZA!$B$9,J31=INCERTEZA!$C$9),INCERTEZA!$D$9,IF(AND(I31=INCERTEZA!$B$10,J31=INCERTEZA!$C$10),INCERTEZA!$D$10,IF(AND(I31=INCERTEZA!$B$11,J31=INCERTEZA!$C$11),INCERTEZA!$D$11,IF(AND(I31=INCERTEZA!$B$12,J31=INCERTEZA!$C$12),INCERTEZA!$D$12,IF(AND(I31=INCERTEZA!$B$13,J31=INCERTEZA!$C$13),INCERTEZA!$D$13,IF(AND(I31=INCERTEZA!$B$14,J31=INCERTEZA!$C$14),INCERTEZA!$D$14,IF(AND(I31=INCERTEZA!$B$15,J31=INCERTEZA!$C$15),INCERTEZA!$D$15,IF(AND(I31=INCERTEZA!$B$16,J31=INCERTEZA!$C$16),INCERTEZA!$D$16,IF(AND(I31=INCERTEZA!$B$17,J31=INCERTEZA!$C$17),INCERTEZA!$D$17,"-")))))))))))))))</f>
        <v>-</v>
      </c>
      <c r="L31" s="33">
        <f>AEP!CX36</f>
        <v>0</v>
      </c>
      <c r="M31" s="34">
        <f>AEP!CO36</f>
        <v>0</v>
      </c>
      <c r="N31" s="55" t="b">
        <f>IF(AND(L31=monitoramento!$C$4,M31=monitoramento!$D$4),monitoramento!$E$4,IF(AND(L31=monitoramento!$C$5,M31=monitoramento!$D$5),monitoramento!$E$5,IF(AND(L31=monitoramento!$C$6,M31=monitoramento!$D$6),monitoramento!$E$6,IF(AND(L31=monitoramento!$C$7,M31=monitoramento!$D$7),monitoramento!$E$7,IF(AND(L31=monitoramento!$C$8,M31=monitoramento!$D$8),monitoramento!$E$8,IF(AND(L31=monitoramento!$C$9,M31=monitoramento!$D$9),monitoramento!$E$9,IF(AND(L31=monitoramento!$C$10,M31=monitoramento!$D$10),monitoramento!$E$10,IF(AND(L31=monitoramento!$C$11,M31=monitoramento!$D$11),monitoramento!$E$11,IF(AND(L31=monitoramento!$C$12,M31=monitoramento!$D$12),monitoramento!$E$12,IF(AND(L31=monitoramento!$C$13,M31=monitoramento!$D$13),monitoramento!$E$13,IF(AND(L31=monitoramento!$C$14,M31=monitoramento!$D$14),monitoramento!$E$14,IF(AND(L31=monitoramento!$C$15,M31=monitoramento!$D$15),monitoramento!$E$15,IF(AND(L31=monitoramento!$C$16,M31=monitoramento!$D$16),monitoramento!$E$16,IF(AND(L31=monitoramento!$C$17,M31=monitoramento!$D$17),monitoramento!$E$17,IF(AND(L31=monitoramento!$C$18,M31=monitoramento!$D$18),monitoramento!$E$18,IF(AND(L31=monitoramento!$C$19,M31=monitoramento!$D$19),monitoramento!$E$19))))))))))))))))</f>
        <v>0</v>
      </c>
      <c r="O31" s="55"/>
      <c r="P31" s="55"/>
    </row>
    <row r="32" spans="8:16" ht="25.9" customHeight="1" thickBot="1" x14ac:dyDescent="0.25">
      <c r="H32" s="29">
        <f>AEP!BF37</f>
        <v>0</v>
      </c>
      <c r="I32" s="30">
        <f>AEP!BI37</f>
        <v>0</v>
      </c>
      <c r="J32" s="31">
        <f>AEP!BM37</f>
        <v>0</v>
      </c>
      <c r="K32" s="32" t="str">
        <f>IF(AND(I32=INCERTEZA!$B$3,J32=INCERTEZA!$C$3),INCERTEZA!$D$3,IF(AND(I32=INCERTEZA!$B$4,J32=INCERTEZA!$C$4),INCERTEZA!$D$4,IF(AND(I32=INCERTEZA!$B$5,J32=INCERTEZA!$C$5),INCERTEZA!$D$5,IF(AND(I32=INCERTEZA!$B$6,J32=INCERTEZA!$C$6),INCERTEZA!$D$6,IF(AND(I32=INCERTEZA!$B$7,J32=INCERTEZA!$C$7),INCERTEZA!$D$7,IF(AND(I32=INCERTEZA!$B$8,J32=INCERTEZA!$C$8),INCERTEZA!$D$8,IF(AND(I32=INCERTEZA!$B$9,J32=INCERTEZA!$C$9),INCERTEZA!$D$9,IF(AND(I32=INCERTEZA!$B$10,J32=INCERTEZA!$C$10),INCERTEZA!$D$10,IF(AND(I32=INCERTEZA!$B$11,J32=INCERTEZA!$C$11),INCERTEZA!$D$11,IF(AND(I32=INCERTEZA!$B$12,J32=INCERTEZA!$C$12),INCERTEZA!$D$12,IF(AND(I32=INCERTEZA!$B$13,J32=INCERTEZA!$C$13),INCERTEZA!$D$13,IF(AND(I32=INCERTEZA!$B$14,J32=INCERTEZA!$C$14),INCERTEZA!$D$14,IF(AND(I32=INCERTEZA!$B$15,J32=INCERTEZA!$C$15),INCERTEZA!$D$15,IF(AND(I32=INCERTEZA!$B$16,J32=INCERTEZA!$C$16),INCERTEZA!$D$16,IF(AND(I32=INCERTEZA!$B$17,J32=INCERTEZA!$C$17),INCERTEZA!$D$17,"-")))))))))))))))</f>
        <v>-</v>
      </c>
      <c r="L32" s="33">
        <f>AEP!CX37</f>
        <v>0</v>
      </c>
      <c r="M32" s="34">
        <f>AEP!CO37</f>
        <v>0</v>
      </c>
      <c r="N32" s="55" t="b">
        <f>IF(AND(L32=monitoramento!$C$4,M32=monitoramento!$D$4),monitoramento!$E$4,IF(AND(L32=monitoramento!$C$5,M32=monitoramento!$D$5),monitoramento!$E$5,IF(AND(L32=monitoramento!$C$6,M32=monitoramento!$D$6),monitoramento!$E$6,IF(AND(L32=monitoramento!$C$7,M32=monitoramento!$D$7),monitoramento!$E$7,IF(AND(L32=monitoramento!$C$8,M32=monitoramento!$D$8),monitoramento!$E$8,IF(AND(L32=monitoramento!$C$9,M32=monitoramento!$D$9),monitoramento!$E$9,IF(AND(L32=monitoramento!$C$10,M32=monitoramento!$D$10),monitoramento!$E$10,IF(AND(L32=monitoramento!$C$11,M32=monitoramento!$D$11),monitoramento!$E$11,IF(AND(L32=monitoramento!$C$12,M32=monitoramento!$D$12),monitoramento!$E$12,IF(AND(L32=monitoramento!$C$13,M32=monitoramento!$D$13),monitoramento!$E$13,IF(AND(L32=monitoramento!$C$14,M32=monitoramento!$D$14),monitoramento!$E$14,IF(AND(L32=monitoramento!$C$15,M32=monitoramento!$D$15),monitoramento!$E$15,IF(AND(L32=monitoramento!$C$16,M32=monitoramento!$D$16),monitoramento!$E$16,IF(AND(L32=monitoramento!$C$17,M32=monitoramento!$D$17),monitoramento!$E$17,IF(AND(L32=monitoramento!$C$18,M32=monitoramento!$D$18),monitoramento!$E$18,IF(AND(L32=monitoramento!$C$19,M32=monitoramento!$D$19),monitoramento!$E$19))))))))))))))))</f>
        <v>0</v>
      </c>
      <c r="O32" s="55"/>
      <c r="P32" s="55"/>
    </row>
    <row r="33" spans="8:16" ht="25.9" customHeight="1" thickBot="1" x14ac:dyDescent="0.25">
      <c r="H33" s="29">
        <f>AEP!BF38</f>
        <v>0</v>
      </c>
      <c r="I33" s="30">
        <f>AEP!BI38</f>
        <v>0</v>
      </c>
      <c r="J33" s="31">
        <f>AEP!BM38</f>
        <v>0</v>
      </c>
      <c r="K33" s="32" t="str">
        <f>IF(AND(I33=INCERTEZA!$B$3,J33=INCERTEZA!$C$3),INCERTEZA!$D$3,IF(AND(I33=INCERTEZA!$B$4,J33=INCERTEZA!$C$4),INCERTEZA!$D$4,IF(AND(I33=INCERTEZA!$B$5,J33=INCERTEZA!$C$5),INCERTEZA!$D$5,IF(AND(I33=INCERTEZA!$B$6,J33=INCERTEZA!$C$6),INCERTEZA!$D$6,IF(AND(I33=INCERTEZA!$B$7,J33=INCERTEZA!$C$7),INCERTEZA!$D$7,IF(AND(I33=INCERTEZA!$B$8,J33=INCERTEZA!$C$8),INCERTEZA!$D$8,IF(AND(I33=INCERTEZA!$B$9,J33=INCERTEZA!$C$9),INCERTEZA!$D$9,IF(AND(I33=INCERTEZA!$B$10,J33=INCERTEZA!$C$10),INCERTEZA!$D$10,IF(AND(I33=INCERTEZA!$B$11,J33=INCERTEZA!$C$11),INCERTEZA!$D$11,IF(AND(I33=INCERTEZA!$B$12,J33=INCERTEZA!$C$12),INCERTEZA!$D$12,IF(AND(I33=INCERTEZA!$B$13,J33=INCERTEZA!$C$13),INCERTEZA!$D$13,IF(AND(I33=INCERTEZA!$B$14,J33=INCERTEZA!$C$14),INCERTEZA!$D$14,IF(AND(I33=INCERTEZA!$B$15,J33=INCERTEZA!$C$15),INCERTEZA!$D$15,IF(AND(I33=INCERTEZA!$B$16,J33=INCERTEZA!$C$16),INCERTEZA!$D$16,IF(AND(I33=INCERTEZA!$B$17,J33=INCERTEZA!$C$17),INCERTEZA!$D$17,"-")))))))))))))))</f>
        <v>-</v>
      </c>
      <c r="L33" s="33">
        <f>AEP!CX38</f>
        <v>0</v>
      </c>
      <c r="M33" s="34">
        <f>AEP!CO38</f>
        <v>0</v>
      </c>
      <c r="N33" s="55" t="b">
        <f>IF(AND(L33=monitoramento!$C$4,M33=monitoramento!$D$4),monitoramento!$E$4,IF(AND(L33=monitoramento!$C$5,M33=monitoramento!$D$5),monitoramento!$E$5,IF(AND(L33=monitoramento!$C$6,M33=monitoramento!$D$6),monitoramento!$E$6,IF(AND(L33=monitoramento!$C$7,M33=monitoramento!$D$7),monitoramento!$E$7,IF(AND(L33=monitoramento!$C$8,M33=monitoramento!$D$8),monitoramento!$E$8,IF(AND(L33=monitoramento!$C$9,M33=monitoramento!$D$9),monitoramento!$E$9,IF(AND(L33=monitoramento!$C$10,M33=monitoramento!$D$10),monitoramento!$E$10,IF(AND(L33=monitoramento!$C$11,M33=monitoramento!$D$11),monitoramento!$E$11,IF(AND(L33=monitoramento!$C$12,M33=monitoramento!$D$12),monitoramento!$E$12,IF(AND(L33=monitoramento!$C$13,M33=monitoramento!$D$13),monitoramento!$E$13,IF(AND(L33=monitoramento!$C$14,M33=monitoramento!$D$14),monitoramento!$E$14,IF(AND(L33=monitoramento!$C$15,M33=monitoramento!$D$15),monitoramento!$E$15,IF(AND(L33=monitoramento!$C$16,M33=monitoramento!$D$16),monitoramento!$E$16,IF(AND(L33=monitoramento!$C$17,M33=monitoramento!$D$17),monitoramento!$E$17,IF(AND(L33=monitoramento!$C$18,M33=monitoramento!$D$18),monitoramento!$E$18,IF(AND(L33=monitoramento!$C$19,M33=monitoramento!$D$19),monitoramento!$E$19))))))))))))))))</f>
        <v>0</v>
      </c>
      <c r="O33" s="55"/>
      <c r="P33" s="55"/>
    </row>
    <row r="34" spans="8:16" ht="25.9" customHeight="1" thickBot="1" x14ac:dyDescent="0.25">
      <c r="H34" s="29">
        <f>AEP!BF39</f>
        <v>0</v>
      </c>
      <c r="I34" s="30">
        <f>AEP!BI39</f>
        <v>0</v>
      </c>
      <c r="J34" s="31">
        <f>AEP!BM39</f>
        <v>0</v>
      </c>
      <c r="K34" s="32" t="str">
        <f>IF(AND(I34=INCERTEZA!$B$3,J34=INCERTEZA!$C$3),INCERTEZA!$D$3,IF(AND(I34=INCERTEZA!$B$4,J34=INCERTEZA!$C$4),INCERTEZA!$D$4,IF(AND(I34=INCERTEZA!$B$5,J34=INCERTEZA!$C$5),INCERTEZA!$D$5,IF(AND(I34=INCERTEZA!$B$6,J34=INCERTEZA!$C$6),INCERTEZA!$D$6,IF(AND(I34=INCERTEZA!$B$7,J34=INCERTEZA!$C$7),INCERTEZA!$D$7,IF(AND(I34=INCERTEZA!$B$8,J34=INCERTEZA!$C$8),INCERTEZA!$D$8,IF(AND(I34=INCERTEZA!$B$9,J34=INCERTEZA!$C$9),INCERTEZA!$D$9,IF(AND(I34=INCERTEZA!$B$10,J34=INCERTEZA!$C$10),INCERTEZA!$D$10,IF(AND(I34=INCERTEZA!$B$11,J34=INCERTEZA!$C$11),INCERTEZA!$D$11,IF(AND(I34=INCERTEZA!$B$12,J34=INCERTEZA!$C$12),INCERTEZA!$D$12,IF(AND(I34=INCERTEZA!$B$13,J34=INCERTEZA!$C$13),INCERTEZA!$D$13,IF(AND(I34=INCERTEZA!$B$14,J34=INCERTEZA!$C$14),INCERTEZA!$D$14,IF(AND(I34=INCERTEZA!$B$15,J34=INCERTEZA!$C$15),INCERTEZA!$D$15,IF(AND(I34=INCERTEZA!$B$16,J34=INCERTEZA!$C$16),INCERTEZA!$D$16,IF(AND(I34=INCERTEZA!$B$17,J34=INCERTEZA!$C$17),INCERTEZA!$D$17,"-")))))))))))))))</f>
        <v>-</v>
      </c>
      <c r="L34" s="33">
        <f>AEP!CX39</f>
        <v>0</v>
      </c>
      <c r="M34" s="34">
        <f>AEP!CO39</f>
        <v>0</v>
      </c>
      <c r="N34" s="55" t="b">
        <f>IF(AND(L34=monitoramento!$C$4,M34=monitoramento!$D$4),monitoramento!$E$4,IF(AND(L34=monitoramento!$C$5,M34=monitoramento!$D$5),monitoramento!$E$5,IF(AND(L34=monitoramento!$C$6,M34=monitoramento!$D$6),monitoramento!$E$6,IF(AND(L34=monitoramento!$C$7,M34=monitoramento!$D$7),monitoramento!$E$7,IF(AND(L34=monitoramento!$C$8,M34=monitoramento!$D$8),monitoramento!$E$8,IF(AND(L34=monitoramento!$C$9,M34=monitoramento!$D$9),monitoramento!$E$9,IF(AND(L34=monitoramento!$C$10,M34=monitoramento!$D$10),monitoramento!$E$10,IF(AND(L34=monitoramento!$C$11,M34=monitoramento!$D$11),monitoramento!$E$11,IF(AND(L34=monitoramento!$C$12,M34=monitoramento!$D$12),monitoramento!$E$12,IF(AND(L34=monitoramento!$C$13,M34=monitoramento!$D$13),monitoramento!$E$13,IF(AND(L34=monitoramento!$C$14,M34=monitoramento!$D$14),monitoramento!$E$14,IF(AND(L34=monitoramento!$C$15,M34=monitoramento!$D$15),monitoramento!$E$15,IF(AND(L34=monitoramento!$C$16,M34=monitoramento!$D$16),monitoramento!$E$16,IF(AND(L34=monitoramento!$C$17,M34=monitoramento!$D$17),monitoramento!$E$17,IF(AND(L34=monitoramento!$C$18,M34=monitoramento!$D$18),monitoramento!$E$18,IF(AND(L34=monitoramento!$C$19,M34=monitoramento!$D$19),monitoramento!$E$19))))))))))))))))</f>
        <v>0</v>
      </c>
      <c r="O34" s="55"/>
      <c r="P34" s="55"/>
    </row>
    <row r="35" spans="8:16" ht="25.9" customHeight="1" thickBot="1" x14ac:dyDescent="0.25">
      <c r="H35" s="29">
        <f>AEP!BF40</f>
        <v>0</v>
      </c>
      <c r="I35" s="30">
        <f>AEP!BI40</f>
        <v>0</v>
      </c>
      <c r="J35" s="31">
        <f>AEP!BM40</f>
        <v>0</v>
      </c>
      <c r="K35" s="32" t="str">
        <f>IF(AND(I35=INCERTEZA!$B$3,J35=INCERTEZA!$C$3),INCERTEZA!$D$3,IF(AND(I35=INCERTEZA!$B$4,J35=INCERTEZA!$C$4),INCERTEZA!$D$4,IF(AND(I35=INCERTEZA!$B$5,J35=INCERTEZA!$C$5),INCERTEZA!$D$5,IF(AND(I35=INCERTEZA!$B$6,J35=INCERTEZA!$C$6),INCERTEZA!$D$6,IF(AND(I35=INCERTEZA!$B$7,J35=INCERTEZA!$C$7),INCERTEZA!$D$7,IF(AND(I35=INCERTEZA!$B$8,J35=INCERTEZA!$C$8),INCERTEZA!$D$8,IF(AND(I35=INCERTEZA!$B$9,J35=INCERTEZA!$C$9),INCERTEZA!$D$9,IF(AND(I35=INCERTEZA!$B$10,J35=INCERTEZA!$C$10),INCERTEZA!$D$10,IF(AND(I35=INCERTEZA!$B$11,J35=INCERTEZA!$C$11),INCERTEZA!$D$11,IF(AND(I35=INCERTEZA!$B$12,J35=INCERTEZA!$C$12),INCERTEZA!$D$12,IF(AND(I35=INCERTEZA!$B$13,J35=INCERTEZA!$C$13),INCERTEZA!$D$13,IF(AND(I35=INCERTEZA!$B$14,J35=INCERTEZA!$C$14),INCERTEZA!$D$14,IF(AND(I35=INCERTEZA!$B$15,J35=INCERTEZA!$C$15),INCERTEZA!$D$15,IF(AND(I35=INCERTEZA!$B$16,J35=INCERTEZA!$C$16),INCERTEZA!$D$16,IF(AND(I35=INCERTEZA!$B$17,J35=INCERTEZA!$C$17),INCERTEZA!$D$17,"-")))))))))))))))</f>
        <v>-</v>
      </c>
      <c r="L35" s="33">
        <f>AEP!CX40</f>
        <v>0</v>
      </c>
      <c r="M35" s="34">
        <f>AEP!CO40</f>
        <v>0</v>
      </c>
      <c r="N35" s="55" t="b">
        <f>IF(AND(L35=monitoramento!$C$4,M35=monitoramento!$D$4),monitoramento!$E$4,IF(AND(L35=monitoramento!$C$5,M35=monitoramento!$D$5),monitoramento!$E$5,IF(AND(L35=monitoramento!$C$6,M35=monitoramento!$D$6),monitoramento!$E$6,IF(AND(L35=monitoramento!$C$7,M35=monitoramento!$D$7),monitoramento!$E$7,IF(AND(L35=monitoramento!$C$8,M35=monitoramento!$D$8),monitoramento!$E$8,IF(AND(L35=monitoramento!$C$9,M35=monitoramento!$D$9),monitoramento!$E$9,IF(AND(L35=monitoramento!$C$10,M35=monitoramento!$D$10),monitoramento!$E$10,IF(AND(L35=monitoramento!$C$11,M35=monitoramento!$D$11),monitoramento!$E$11,IF(AND(L35=monitoramento!$C$12,M35=monitoramento!$D$12),monitoramento!$E$12,IF(AND(L35=monitoramento!$C$13,M35=monitoramento!$D$13),monitoramento!$E$13,IF(AND(L35=monitoramento!$C$14,M35=monitoramento!$D$14),monitoramento!$E$14,IF(AND(L35=monitoramento!$C$15,M35=monitoramento!$D$15),monitoramento!$E$15,IF(AND(L35=monitoramento!$C$16,M35=monitoramento!$D$16),monitoramento!$E$16,IF(AND(L35=monitoramento!$C$17,M35=monitoramento!$D$17),monitoramento!$E$17,IF(AND(L35=monitoramento!$C$18,M35=monitoramento!$D$18),monitoramento!$E$18,IF(AND(L35=monitoramento!$C$19,M35=monitoramento!$D$19),monitoramento!$E$19))))))))))))))))</f>
        <v>0</v>
      </c>
      <c r="O35" s="55"/>
      <c r="P35" s="55"/>
    </row>
    <row r="36" spans="8:16" ht="25.9" customHeight="1" thickBot="1" x14ac:dyDescent="0.25">
      <c r="H36" s="29">
        <f>AEP!BF41</f>
        <v>0</v>
      </c>
      <c r="I36" s="30">
        <f>AEP!BI41</f>
        <v>0</v>
      </c>
      <c r="J36" s="31">
        <f>AEP!BM41</f>
        <v>0</v>
      </c>
      <c r="K36" s="32" t="str">
        <f>IF(AND(I36=INCERTEZA!$B$3,J36=INCERTEZA!$C$3),INCERTEZA!$D$3,IF(AND(I36=INCERTEZA!$B$4,J36=INCERTEZA!$C$4),INCERTEZA!$D$4,IF(AND(I36=INCERTEZA!$B$5,J36=INCERTEZA!$C$5),INCERTEZA!$D$5,IF(AND(I36=INCERTEZA!$B$6,J36=INCERTEZA!$C$6),INCERTEZA!$D$6,IF(AND(I36=INCERTEZA!$B$7,J36=INCERTEZA!$C$7),INCERTEZA!$D$7,IF(AND(I36=INCERTEZA!$B$8,J36=INCERTEZA!$C$8),INCERTEZA!$D$8,IF(AND(I36=INCERTEZA!$B$9,J36=INCERTEZA!$C$9),INCERTEZA!$D$9,IF(AND(I36=INCERTEZA!$B$10,J36=INCERTEZA!$C$10),INCERTEZA!$D$10,IF(AND(I36=INCERTEZA!$B$11,J36=INCERTEZA!$C$11),INCERTEZA!$D$11,IF(AND(I36=INCERTEZA!$B$12,J36=INCERTEZA!$C$12),INCERTEZA!$D$12,IF(AND(I36=INCERTEZA!$B$13,J36=INCERTEZA!$C$13),INCERTEZA!$D$13,IF(AND(I36=INCERTEZA!$B$14,J36=INCERTEZA!$C$14),INCERTEZA!$D$14,IF(AND(I36=INCERTEZA!$B$15,J36=INCERTEZA!$C$15),INCERTEZA!$D$15,IF(AND(I36=INCERTEZA!$B$16,J36=INCERTEZA!$C$16),INCERTEZA!$D$16,IF(AND(I36=INCERTEZA!$B$17,J36=INCERTEZA!$C$17),INCERTEZA!$D$17,"-")))))))))))))))</f>
        <v>-</v>
      </c>
      <c r="L36" s="33">
        <f>AEP!CX41</f>
        <v>0</v>
      </c>
      <c r="M36" s="34">
        <f>AEP!CO41</f>
        <v>0</v>
      </c>
      <c r="N36" s="55" t="b">
        <f>IF(AND(L36=monitoramento!$C$4,M36=monitoramento!$D$4),monitoramento!$E$4,IF(AND(L36=monitoramento!$C$5,M36=monitoramento!$D$5),monitoramento!$E$5,IF(AND(L36=monitoramento!$C$6,M36=monitoramento!$D$6),monitoramento!$E$6,IF(AND(L36=monitoramento!$C$7,M36=monitoramento!$D$7),monitoramento!$E$7,IF(AND(L36=monitoramento!$C$8,M36=monitoramento!$D$8),monitoramento!$E$8,IF(AND(L36=monitoramento!$C$9,M36=monitoramento!$D$9),monitoramento!$E$9,IF(AND(L36=monitoramento!$C$10,M36=monitoramento!$D$10),monitoramento!$E$10,IF(AND(L36=monitoramento!$C$11,M36=monitoramento!$D$11),monitoramento!$E$11,IF(AND(L36=monitoramento!$C$12,M36=monitoramento!$D$12),monitoramento!$E$12,IF(AND(L36=monitoramento!$C$13,M36=monitoramento!$D$13),monitoramento!$E$13,IF(AND(L36=monitoramento!$C$14,M36=monitoramento!$D$14),monitoramento!$E$14,IF(AND(L36=monitoramento!$C$15,M36=monitoramento!$D$15),monitoramento!$E$15,IF(AND(L36=monitoramento!$C$16,M36=monitoramento!$D$16),monitoramento!$E$16,IF(AND(L36=monitoramento!$C$17,M36=monitoramento!$D$17),monitoramento!$E$17,IF(AND(L36=monitoramento!$C$18,M36=monitoramento!$D$18),monitoramento!$E$18,IF(AND(L36=monitoramento!$C$19,M36=monitoramento!$D$19),monitoramento!$E$19))))))))))))))))</f>
        <v>0</v>
      </c>
      <c r="O36" s="55"/>
      <c r="P36" s="55"/>
    </row>
    <row r="37" spans="8:16" ht="25.9" customHeight="1" thickBot="1" x14ac:dyDescent="0.25">
      <c r="H37" s="29">
        <f>AEP!BF42</f>
        <v>0</v>
      </c>
      <c r="I37" s="30">
        <f>AEP!BI42</f>
        <v>0</v>
      </c>
      <c r="J37" s="31">
        <f>AEP!BM42</f>
        <v>0</v>
      </c>
      <c r="K37" s="32" t="str">
        <f>IF(AND(I37=INCERTEZA!$B$3,J37=INCERTEZA!$C$3),INCERTEZA!$D$3,IF(AND(I37=INCERTEZA!$B$4,J37=INCERTEZA!$C$4),INCERTEZA!$D$4,IF(AND(I37=INCERTEZA!$B$5,J37=INCERTEZA!$C$5),INCERTEZA!$D$5,IF(AND(I37=INCERTEZA!$B$6,J37=INCERTEZA!$C$6),INCERTEZA!$D$6,IF(AND(I37=INCERTEZA!$B$7,J37=INCERTEZA!$C$7),INCERTEZA!$D$7,IF(AND(I37=INCERTEZA!$B$8,J37=INCERTEZA!$C$8),INCERTEZA!$D$8,IF(AND(I37=INCERTEZA!$B$9,J37=INCERTEZA!$C$9),INCERTEZA!$D$9,IF(AND(I37=INCERTEZA!$B$10,J37=INCERTEZA!$C$10),INCERTEZA!$D$10,IF(AND(I37=INCERTEZA!$B$11,J37=INCERTEZA!$C$11),INCERTEZA!$D$11,IF(AND(I37=INCERTEZA!$B$12,J37=INCERTEZA!$C$12),INCERTEZA!$D$12,IF(AND(I37=INCERTEZA!$B$13,J37=INCERTEZA!$C$13),INCERTEZA!$D$13,IF(AND(I37=INCERTEZA!$B$14,J37=INCERTEZA!$C$14),INCERTEZA!$D$14,IF(AND(I37=INCERTEZA!$B$15,J37=INCERTEZA!$C$15),INCERTEZA!$D$15,IF(AND(I37=INCERTEZA!$B$16,J37=INCERTEZA!$C$16),INCERTEZA!$D$16,IF(AND(I37=INCERTEZA!$B$17,J37=INCERTEZA!$C$17),INCERTEZA!$D$17,"-")))))))))))))))</f>
        <v>-</v>
      </c>
      <c r="L37" s="33">
        <f>AEP!CX42</f>
        <v>0</v>
      </c>
      <c r="M37" s="34">
        <f>AEP!CO42</f>
        <v>0</v>
      </c>
      <c r="N37" s="55" t="b">
        <f>IF(AND(L37=monitoramento!$C$4,M37=monitoramento!$D$4),monitoramento!$E$4,IF(AND(L37=monitoramento!$C$5,M37=monitoramento!$D$5),monitoramento!$E$5,IF(AND(L37=monitoramento!$C$6,M37=monitoramento!$D$6),monitoramento!$E$6,IF(AND(L37=monitoramento!$C$7,M37=monitoramento!$D$7),monitoramento!$E$7,IF(AND(L37=monitoramento!$C$8,M37=monitoramento!$D$8),monitoramento!$E$8,IF(AND(L37=monitoramento!$C$9,M37=monitoramento!$D$9),monitoramento!$E$9,IF(AND(L37=monitoramento!$C$10,M37=monitoramento!$D$10),monitoramento!$E$10,IF(AND(L37=monitoramento!$C$11,M37=monitoramento!$D$11),monitoramento!$E$11,IF(AND(L37=monitoramento!$C$12,M37=monitoramento!$D$12),monitoramento!$E$12,IF(AND(L37=monitoramento!$C$13,M37=monitoramento!$D$13),monitoramento!$E$13,IF(AND(L37=monitoramento!$C$14,M37=monitoramento!$D$14),monitoramento!$E$14,IF(AND(L37=monitoramento!$C$15,M37=monitoramento!$D$15),monitoramento!$E$15,IF(AND(L37=monitoramento!$C$16,M37=monitoramento!$D$16),monitoramento!$E$16,IF(AND(L37=monitoramento!$C$17,M37=monitoramento!$D$17),monitoramento!$E$17,IF(AND(L37=monitoramento!$C$18,M37=monitoramento!$D$18),monitoramento!$E$18,IF(AND(L37=monitoramento!$C$19,M37=monitoramento!$D$19),monitoramento!$E$19))))))))))))))))</f>
        <v>0</v>
      </c>
      <c r="O37" s="55"/>
      <c r="P37" s="55"/>
    </row>
    <row r="38" spans="8:16" ht="25.9" customHeight="1" thickBot="1" x14ac:dyDescent="0.25">
      <c r="H38" s="29">
        <f>AEP!BF43</f>
        <v>0</v>
      </c>
      <c r="I38" s="30">
        <f>AEP!BI43</f>
        <v>0</v>
      </c>
      <c r="J38" s="31">
        <f>AEP!BM43</f>
        <v>0</v>
      </c>
      <c r="K38" s="32" t="str">
        <f>IF(AND(I38=INCERTEZA!$B$3,J38=INCERTEZA!$C$3),INCERTEZA!$D$3,IF(AND(I38=INCERTEZA!$B$4,J38=INCERTEZA!$C$4),INCERTEZA!$D$4,IF(AND(I38=INCERTEZA!$B$5,J38=INCERTEZA!$C$5),INCERTEZA!$D$5,IF(AND(I38=INCERTEZA!$B$6,J38=INCERTEZA!$C$6),INCERTEZA!$D$6,IF(AND(I38=INCERTEZA!$B$7,J38=INCERTEZA!$C$7),INCERTEZA!$D$7,IF(AND(I38=INCERTEZA!$B$8,J38=INCERTEZA!$C$8),INCERTEZA!$D$8,IF(AND(I38=INCERTEZA!$B$9,J38=INCERTEZA!$C$9),INCERTEZA!$D$9,IF(AND(I38=INCERTEZA!$B$10,J38=INCERTEZA!$C$10),INCERTEZA!$D$10,IF(AND(I38=INCERTEZA!$B$11,J38=INCERTEZA!$C$11),INCERTEZA!$D$11,IF(AND(I38=INCERTEZA!$B$12,J38=INCERTEZA!$C$12),INCERTEZA!$D$12,IF(AND(I38=INCERTEZA!$B$13,J38=INCERTEZA!$C$13),INCERTEZA!$D$13,IF(AND(I38=INCERTEZA!$B$14,J38=INCERTEZA!$C$14),INCERTEZA!$D$14,IF(AND(I38=INCERTEZA!$B$15,J38=INCERTEZA!$C$15),INCERTEZA!$D$15,IF(AND(I38=INCERTEZA!$B$16,J38=INCERTEZA!$C$16),INCERTEZA!$D$16,IF(AND(I38=INCERTEZA!$B$17,J38=INCERTEZA!$C$17),INCERTEZA!$D$17,"-")))))))))))))))</f>
        <v>-</v>
      </c>
      <c r="L38" s="33">
        <f>AEP!CX43</f>
        <v>0</v>
      </c>
      <c r="M38" s="34">
        <f>AEP!CO43</f>
        <v>0</v>
      </c>
      <c r="N38" s="55" t="b">
        <f>IF(AND(L38=monitoramento!$C$4,M38=monitoramento!$D$4),monitoramento!$E$4,IF(AND(L38=monitoramento!$C$5,M38=monitoramento!$D$5),monitoramento!$E$5,IF(AND(L38=monitoramento!$C$6,M38=monitoramento!$D$6),monitoramento!$E$6,IF(AND(L38=monitoramento!$C$7,M38=monitoramento!$D$7),monitoramento!$E$7,IF(AND(L38=monitoramento!$C$8,M38=monitoramento!$D$8),monitoramento!$E$8,IF(AND(L38=monitoramento!$C$9,M38=monitoramento!$D$9),monitoramento!$E$9,IF(AND(L38=monitoramento!$C$10,M38=monitoramento!$D$10),monitoramento!$E$10,IF(AND(L38=monitoramento!$C$11,M38=monitoramento!$D$11),monitoramento!$E$11,IF(AND(L38=monitoramento!$C$12,M38=monitoramento!$D$12),monitoramento!$E$12,IF(AND(L38=monitoramento!$C$13,M38=monitoramento!$D$13),monitoramento!$E$13,IF(AND(L38=monitoramento!$C$14,M38=monitoramento!$D$14),monitoramento!$E$14,IF(AND(L38=monitoramento!$C$15,M38=monitoramento!$D$15),monitoramento!$E$15,IF(AND(L38=monitoramento!$C$16,M38=monitoramento!$D$16),monitoramento!$E$16,IF(AND(L38=monitoramento!$C$17,M38=monitoramento!$D$17),monitoramento!$E$17,IF(AND(L38=monitoramento!$C$18,M38=monitoramento!$D$18),monitoramento!$E$18,IF(AND(L38=monitoramento!$C$19,M38=monitoramento!$D$19),monitoramento!$E$19))))))))))))))))</f>
        <v>0</v>
      </c>
      <c r="O38" s="55"/>
      <c r="P38" s="55"/>
    </row>
    <row r="39" spans="8:16" ht="25.9" customHeight="1" thickBot="1" x14ac:dyDescent="0.25">
      <c r="H39" s="29">
        <f>AEP!BF44</f>
        <v>0</v>
      </c>
      <c r="I39" s="30">
        <f>AEP!BI44</f>
        <v>0</v>
      </c>
      <c r="J39" s="31">
        <f>AEP!BM44</f>
        <v>0</v>
      </c>
      <c r="K39" s="32" t="str">
        <f>IF(AND(I39=INCERTEZA!$B$3,J39=INCERTEZA!$C$3),INCERTEZA!$D$3,IF(AND(I39=INCERTEZA!$B$4,J39=INCERTEZA!$C$4),INCERTEZA!$D$4,IF(AND(I39=INCERTEZA!$B$5,J39=INCERTEZA!$C$5),INCERTEZA!$D$5,IF(AND(I39=INCERTEZA!$B$6,J39=INCERTEZA!$C$6),INCERTEZA!$D$6,IF(AND(I39=INCERTEZA!$B$7,J39=INCERTEZA!$C$7),INCERTEZA!$D$7,IF(AND(I39=INCERTEZA!$B$8,J39=INCERTEZA!$C$8),INCERTEZA!$D$8,IF(AND(I39=INCERTEZA!$B$9,J39=INCERTEZA!$C$9),INCERTEZA!$D$9,IF(AND(I39=INCERTEZA!$B$10,J39=INCERTEZA!$C$10),INCERTEZA!$D$10,IF(AND(I39=INCERTEZA!$B$11,J39=INCERTEZA!$C$11),INCERTEZA!$D$11,IF(AND(I39=INCERTEZA!$B$12,J39=INCERTEZA!$C$12),INCERTEZA!$D$12,IF(AND(I39=INCERTEZA!$B$13,J39=INCERTEZA!$C$13),INCERTEZA!$D$13,IF(AND(I39=INCERTEZA!$B$14,J39=INCERTEZA!$C$14),INCERTEZA!$D$14,IF(AND(I39=INCERTEZA!$B$15,J39=INCERTEZA!$C$15),INCERTEZA!$D$15,IF(AND(I39=INCERTEZA!$B$16,J39=INCERTEZA!$C$16),INCERTEZA!$D$16,IF(AND(I39=INCERTEZA!$B$17,J39=INCERTEZA!$C$17),INCERTEZA!$D$17,"-")))))))))))))))</f>
        <v>-</v>
      </c>
      <c r="L39" s="33">
        <f>AEP!CX44</f>
        <v>0</v>
      </c>
      <c r="M39" s="34">
        <f>AEP!CO44</f>
        <v>0</v>
      </c>
      <c r="N39" s="55" t="b">
        <f>IF(AND(L39=monitoramento!$C$4,M39=monitoramento!$D$4),monitoramento!$E$4,IF(AND(L39=monitoramento!$C$5,M39=monitoramento!$D$5),monitoramento!$E$5,IF(AND(L39=monitoramento!$C$6,M39=monitoramento!$D$6),monitoramento!$E$6,IF(AND(L39=monitoramento!$C$7,M39=monitoramento!$D$7),monitoramento!$E$7,IF(AND(L39=monitoramento!$C$8,M39=monitoramento!$D$8),monitoramento!$E$8,IF(AND(L39=monitoramento!$C$9,M39=monitoramento!$D$9),monitoramento!$E$9,IF(AND(L39=monitoramento!$C$10,M39=monitoramento!$D$10),monitoramento!$E$10,IF(AND(L39=monitoramento!$C$11,M39=monitoramento!$D$11),monitoramento!$E$11,IF(AND(L39=monitoramento!$C$12,M39=monitoramento!$D$12),monitoramento!$E$12,IF(AND(L39=monitoramento!$C$13,M39=monitoramento!$D$13),monitoramento!$E$13,IF(AND(L39=monitoramento!$C$14,M39=monitoramento!$D$14),monitoramento!$E$14,IF(AND(L39=monitoramento!$C$15,M39=monitoramento!$D$15),monitoramento!$E$15,IF(AND(L39=monitoramento!$C$16,M39=monitoramento!$D$16),monitoramento!$E$16,IF(AND(L39=monitoramento!$C$17,M39=monitoramento!$D$17),monitoramento!$E$17,IF(AND(L39=monitoramento!$C$18,M39=monitoramento!$D$18),monitoramento!$E$18,IF(AND(L39=monitoramento!$C$19,M39=monitoramento!$D$19),monitoramento!$E$19))))))))))))))))</f>
        <v>0</v>
      </c>
      <c r="O39" s="55"/>
      <c r="P39" s="55"/>
    </row>
    <row r="40" spans="8:16" ht="25.9" customHeight="1" thickBot="1" x14ac:dyDescent="0.25">
      <c r="H40" s="29">
        <f>AEP!BF45</f>
        <v>0</v>
      </c>
      <c r="I40" s="30">
        <f>AEP!BI45</f>
        <v>0</v>
      </c>
      <c r="J40" s="31">
        <f>AEP!BM45</f>
        <v>0</v>
      </c>
      <c r="K40" s="32" t="str">
        <f>IF(AND(I40=INCERTEZA!$B$3,J40=INCERTEZA!$C$3),INCERTEZA!$D$3,IF(AND(I40=INCERTEZA!$B$4,J40=INCERTEZA!$C$4),INCERTEZA!$D$4,IF(AND(I40=INCERTEZA!$B$5,J40=INCERTEZA!$C$5),INCERTEZA!$D$5,IF(AND(I40=INCERTEZA!$B$6,J40=INCERTEZA!$C$6),INCERTEZA!$D$6,IF(AND(I40=INCERTEZA!$B$7,J40=INCERTEZA!$C$7),INCERTEZA!$D$7,IF(AND(I40=INCERTEZA!$B$8,J40=INCERTEZA!$C$8),INCERTEZA!$D$8,IF(AND(I40=INCERTEZA!$B$9,J40=INCERTEZA!$C$9),INCERTEZA!$D$9,IF(AND(I40=INCERTEZA!$B$10,J40=INCERTEZA!$C$10),INCERTEZA!$D$10,IF(AND(I40=INCERTEZA!$B$11,J40=INCERTEZA!$C$11),INCERTEZA!$D$11,IF(AND(I40=INCERTEZA!$B$12,J40=INCERTEZA!$C$12),INCERTEZA!$D$12,IF(AND(I40=INCERTEZA!$B$13,J40=INCERTEZA!$C$13),INCERTEZA!$D$13,IF(AND(I40=INCERTEZA!$B$14,J40=INCERTEZA!$C$14),INCERTEZA!$D$14,IF(AND(I40=INCERTEZA!$B$15,J40=INCERTEZA!$C$15),INCERTEZA!$D$15,IF(AND(I40=INCERTEZA!$B$16,J40=INCERTEZA!$C$16),INCERTEZA!$D$16,IF(AND(I40=INCERTEZA!$B$17,J40=INCERTEZA!$C$17),INCERTEZA!$D$17,"-")))))))))))))))</f>
        <v>-</v>
      </c>
      <c r="L40" s="33">
        <f>AEP!CX45</f>
        <v>0</v>
      </c>
      <c r="M40" s="34">
        <f>AEP!CO45</f>
        <v>0</v>
      </c>
      <c r="N40" s="55" t="b">
        <f>IF(AND(L40=monitoramento!$C$4,M40=monitoramento!$D$4),monitoramento!$E$4,IF(AND(L40=monitoramento!$C$5,M40=monitoramento!$D$5),monitoramento!$E$5,IF(AND(L40=monitoramento!$C$6,M40=monitoramento!$D$6),monitoramento!$E$6,IF(AND(L40=monitoramento!$C$7,M40=monitoramento!$D$7),monitoramento!$E$7,IF(AND(L40=monitoramento!$C$8,M40=monitoramento!$D$8),monitoramento!$E$8,IF(AND(L40=monitoramento!$C$9,M40=monitoramento!$D$9),monitoramento!$E$9,IF(AND(L40=monitoramento!$C$10,M40=monitoramento!$D$10),monitoramento!$E$10,IF(AND(L40=monitoramento!$C$11,M40=monitoramento!$D$11),monitoramento!$E$11,IF(AND(L40=monitoramento!$C$12,M40=monitoramento!$D$12),monitoramento!$E$12,IF(AND(L40=monitoramento!$C$13,M40=monitoramento!$D$13),monitoramento!$E$13,IF(AND(L40=monitoramento!$C$14,M40=monitoramento!$D$14),monitoramento!$E$14,IF(AND(L40=monitoramento!$C$15,M40=monitoramento!$D$15),monitoramento!$E$15,IF(AND(L40=monitoramento!$C$16,M40=monitoramento!$D$16),monitoramento!$E$16,IF(AND(L40=monitoramento!$C$17,M40=monitoramento!$D$17),monitoramento!$E$17,IF(AND(L40=monitoramento!$C$18,M40=monitoramento!$D$18),monitoramento!$E$18,IF(AND(L40=monitoramento!$C$19,M40=monitoramento!$D$19),monitoramento!$E$19))))))))))))))))</f>
        <v>0</v>
      </c>
      <c r="O40" s="55"/>
      <c r="P40" s="55"/>
    </row>
    <row r="41" spans="8:16" ht="25.9" customHeight="1" thickBot="1" x14ac:dyDescent="0.25">
      <c r="H41" s="29">
        <f>AEP!BF46</f>
        <v>0</v>
      </c>
      <c r="I41" s="30">
        <f>AEP!BI46</f>
        <v>0</v>
      </c>
      <c r="J41" s="31">
        <f>AEP!BM46</f>
        <v>0</v>
      </c>
      <c r="K41" s="32" t="str">
        <f>IF(AND(I41=INCERTEZA!$B$3,J41=INCERTEZA!$C$3),INCERTEZA!$D$3,IF(AND(I41=INCERTEZA!$B$4,J41=INCERTEZA!$C$4),INCERTEZA!$D$4,IF(AND(I41=INCERTEZA!$B$5,J41=INCERTEZA!$C$5),INCERTEZA!$D$5,IF(AND(I41=INCERTEZA!$B$6,J41=INCERTEZA!$C$6),INCERTEZA!$D$6,IF(AND(I41=INCERTEZA!$B$7,J41=INCERTEZA!$C$7),INCERTEZA!$D$7,IF(AND(I41=INCERTEZA!$B$8,J41=INCERTEZA!$C$8),INCERTEZA!$D$8,IF(AND(I41=INCERTEZA!$B$9,J41=INCERTEZA!$C$9),INCERTEZA!$D$9,IF(AND(I41=INCERTEZA!$B$10,J41=INCERTEZA!$C$10),INCERTEZA!$D$10,IF(AND(I41=INCERTEZA!$B$11,J41=INCERTEZA!$C$11),INCERTEZA!$D$11,IF(AND(I41=INCERTEZA!$B$12,J41=INCERTEZA!$C$12),INCERTEZA!$D$12,IF(AND(I41=INCERTEZA!$B$13,J41=INCERTEZA!$C$13),INCERTEZA!$D$13,IF(AND(I41=INCERTEZA!$B$14,J41=INCERTEZA!$C$14),INCERTEZA!$D$14,IF(AND(I41=INCERTEZA!$B$15,J41=INCERTEZA!$C$15),INCERTEZA!$D$15,IF(AND(I41=INCERTEZA!$B$16,J41=INCERTEZA!$C$16),INCERTEZA!$D$16,IF(AND(I41=INCERTEZA!$B$17,J41=INCERTEZA!$C$17),INCERTEZA!$D$17,"-")))))))))))))))</f>
        <v>-</v>
      </c>
      <c r="L41" s="33">
        <f>AEP!CX46</f>
        <v>0</v>
      </c>
      <c r="M41" s="34">
        <f>AEP!CO46</f>
        <v>0</v>
      </c>
      <c r="N41" s="55" t="b">
        <f>IF(AND(L41=monitoramento!$C$4,M41=monitoramento!$D$4),monitoramento!$E$4,IF(AND(L41=monitoramento!$C$5,M41=monitoramento!$D$5),monitoramento!$E$5,IF(AND(L41=monitoramento!$C$6,M41=monitoramento!$D$6),monitoramento!$E$6,IF(AND(L41=monitoramento!$C$7,M41=monitoramento!$D$7),monitoramento!$E$7,IF(AND(L41=monitoramento!$C$8,M41=monitoramento!$D$8),monitoramento!$E$8,IF(AND(L41=monitoramento!$C$9,M41=monitoramento!$D$9),monitoramento!$E$9,IF(AND(L41=monitoramento!$C$10,M41=monitoramento!$D$10),monitoramento!$E$10,IF(AND(L41=monitoramento!$C$11,M41=monitoramento!$D$11),monitoramento!$E$11,IF(AND(L41=monitoramento!$C$12,M41=monitoramento!$D$12),monitoramento!$E$12,IF(AND(L41=monitoramento!$C$13,M41=monitoramento!$D$13),monitoramento!$E$13,IF(AND(L41=monitoramento!$C$14,M41=monitoramento!$D$14),monitoramento!$E$14,IF(AND(L41=monitoramento!$C$15,M41=monitoramento!$D$15),monitoramento!$E$15,IF(AND(L41=monitoramento!$C$16,M41=monitoramento!$D$16),monitoramento!$E$16,IF(AND(L41=monitoramento!$C$17,M41=monitoramento!$D$17),monitoramento!$E$17,IF(AND(L41=monitoramento!$C$18,M41=monitoramento!$D$18),monitoramento!$E$18,IF(AND(L41=monitoramento!$C$19,M41=monitoramento!$D$19),monitoramento!$E$19))))))))))))))))</f>
        <v>0</v>
      </c>
      <c r="O41" s="55"/>
      <c r="P41" s="55"/>
    </row>
    <row r="42" spans="8:16" ht="25.9" customHeight="1" thickBot="1" x14ac:dyDescent="0.25">
      <c r="H42" s="29">
        <f>AEP!BF47</f>
        <v>0</v>
      </c>
      <c r="I42" s="30">
        <f>AEP!BI47</f>
        <v>0</v>
      </c>
      <c r="J42" s="31">
        <f>AEP!BM47</f>
        <v>0</v>
      </c>
      <c r="K42" s="32" t="str">
        <f>IF(AND(I42=INCERTEZA!$B$3,J42=INCERTEZA!$C$3),INCERTEZA!$D$3,IF(AND(I42=INCERTEZA!$B$4,J42=INCERTEZA!$C$4),INCERTEZA!$D$4,IF(AND(I42=INCERTEZA!$B$5,J42=INCERTEZA!$C$5),INCERTEZA!$D$5,IF(AND(I42=INCERTEZA!$B$6,J42=INCERTEZA!$C$6),INCERTEZA!$D$6,IF(AND(I42=INCERTEZA!$B$7,J42=INCERTEZA!$C$7),INCERTEZA!$D$7,IF(AND(I42=INCERTEZA!$B$8,J42=INCERTEZA!$C$8),INCERTEZA!$D$8,IF(AND(I42=INCERTEZA!$B$9,J42=INCERTEZA!$C$9),INCERTEZA!$D$9,IF(AND(I42=INCERTEZA!$B$10,J42=INCERTEZA!$C$10),INCERTEZA!$D$10,IF(AND(I42=INCERTEZA!$B$11,J42=INCERTEZA!$C$11),INCERTEZA!$D$11,IF(AND(I42=INCERTEZA!$B$12,J42=INCERTEZA!$C$12),INCERTEZA!$D$12,IF(AND(I42=INCERTEZA!$B$13,J42=INCERTEZA!$C$13),INCERTEZA!$D$13,IF(AND(I42=INCERTEZA!$B$14,J42=INCERTEZA!$C$14),INCERTEZA!$D$14,IF(AND(I42=INCERTEZA!$B$15,J42=INCERTEZA!$C$15),INCERTEZA!$D$15,IF(AND(I42=INCERTEZA!$B$16,J42=INCERTEZA!$C$16),INCERTEZA!$D$16,IF(AND(I42=INCERTEZA!$B$17,J42=INCERTEZA!$C$17),INCERTEZA!$D$17,"-")))))))))))))))</f>
        <v>-</v>
      </c>
      <c r="L42" s="33">
        <f>AEP!CX47</f>
        <v>0</v>
      </c>
      <c r="M42" s="34">
        <f>AEP!CO47</f>
        <v>0</v>
      </c>
      <c r="N42" s="55" t="b">
        <f>IF(AND(L42=monitoramento!$C$4,M42=monitoramento!$D$4),monitoramento!$E$4,IF(AND(L42=monitoramento!$C$5,M42=monitoramento!$D$5),monitoramento!$E$5,IF(AND(L42=monitoramento!$C$6,M42=monitoramento!$D$6),monitoramento!$E$6,IF(AND(L42=monitoramento!$C$7,M42=monitoramento!$D$7),monitoramento!$E$7,IF(AND(L42=monitoramento!$C$8,M42=monitoramento!$D$8),monitoramento!$E$8,IF(AND(L42=monitoramento!$C$9,M42=monitoramento!$D$9),monitoramento!$E$9,IF(AND(L42=monitoramento!$C$10,M42=monitoramento!$D$10),monitoramento!$E$10,IF(AND(L42=monitoramento!$C$11,M42=monitoramento!$D$11),monitoramento!$E$11,IF(AND(L42=monitoramento!$C$12,M42=monitoramento!$D$12),monitoramento!$E$12,IF(AND(L42=monitoramento!$C$13,M42=monitoramento!$D$13),monitoramento!$E$13,IF(AND(L42=monitoramento!$C$14,M42=monitoramento!$D$14),monitoramento!$E$14,IF(AND(L42=monitoramento!$C$15,M42=monitoramento!$D$15),monitoramento!$E$15,IF(AND(L42=monitoramento!$C$16,M42=monitoramento!$D$16),monitoramento!$E$16,IF(AND(L42=monitoramento!$C$17,M42=monitoramento!$D$17),monitoramento!$E$17,IF(AND(L42=monitoramento!$C$18,M42=monitoramento!$D$18),monitoramento!$E$18,IF(AND(L42=monitoramento!$C$19,M42=monitoramento!$D$19),monitoramento!$E$19))))))))))))))))</f>
        <v>0</v>
      </c>
      <c r="O42" s="55"/>
      <c r="P42" s="55"/>
    </row>
    <row r="43" spans="8:16" ht="25.9" customHeight="1" thickBot="1" x14ac:dyDescent="0.25">
      <c r="H43" s="29">
        <f>AEP!BF48</f>
        <v>0</v>
      </c>
      <c r="I43" s="30">
        <f>AEP!BI48</f>
        <v>0</v>
      </c>
      <c r="J43" s="31">
        <f>AEP!BM48</f>
        <v>0</v>
      </c>
      <c r="K43" s="32" t="str">
        <f>IF(AND(I43=INCERTEZA!$B$3,J43=INCERTEZA!$C$3),INCERTEZA!$D$3,IF(AND(I43=INCERTEZA!$B$4,J43=INCERTEZA!$C$4),INCERTEZA!$D$4,IF(AND(I43=INCERTEZA!$B$5,J43=INCERTEZA!$C$5),INCERTEZA!$D$5,IF(AND(I43=INCERTEZA!$B$6,J43=INCERTEZA!$C$6),INCERTEZA!$D$6,IF(AND(I43=INCERTEZA!$B$7,J43=INCERTEZA!$C$7),INCERTEZA!$D$7,IF(AND(I43=INCERTEZA!$B$8,J43=INCERTEZA!$C$8),INCERTEZA!$D$8,IF(AND(I43=INCERTEZA!$B$9,J43=INCERTEZA!$C$9),INCERTEZA!$D$9,IF(AND(I43=INCERTEZA!$B$10,J43=INCERTEZA!$C$10),INCERTEZA!$D$10,IF(AND(I43=INCERTEZA!$B$11,J43=INCERTEZA!$C$11),INCERTEZA!$D$11,IF(AND(I43=INCERTEZA!$B$12,J43=INCERTEZA!$C$12),INCERTEZA!$D$12,IF(AND(I43=INCERTEZA!$B$13,J43=INCERTEZA!$C$13),INCERTEZA!$D$13,IF(AND(I43=INCERTEZA!$B$14,J43=INCERTEZA!$C$14),INCERTEZA!$D$14,IF(AND(I43=INCERTEZA!$B$15,J43=INCERTEZA!$C$15),INCERTEZA!$D$15,IF(AND(I43=INCERTEZA!$B$16,J43=INCERTEZA!$C$16),INCERTEZA!$D$16,IF(AND(I43=INCERTEZA!$B$17,J43=INCERTEZA!$C$17),INCERTEZA!$D$17,"-")))))))))))))))</f>
        <v>-</v>
      </c>
      <c r="L43" s="33">
        <f>AEP!CX48</f>
        <v>0</v>
      </c>
      <c r="M43" s="34">
        <f>AEP!CO48</f>
        <v>0</v>
      </c>
      <c r="N43" s="55" t="b">
        <f>IF(AND(L43=monitoramento!$C$4,M43=monitoramento!$D$4),monitoramento!$E$4,IF(AND(L43=monitoramento!$C$5,M43=monitoramento!$D$5),monitoramento!$E$5,IF(AND(L43=monitoramento!$C$6,M43=monitoramento!$D$6),monitoramento!$E$6,IF(AND(L43=monitoramento!$C$7,M43=monitoramento!$D$7),monitoramento!$E$7,IF(AND(L43=monitoramento!$C$8,M43=monitoramento!$D$8),monitoramento!$E$8,IF(AND(L43=monitoramento!$C$9,M43=monitoramento!$D$9),monitoramento!$E$9,IF(AND(L43=monitoramento!$C$10,M43=monitoramento!$D$10),monitoramento!$E$10,IF(AND(L43=monitoramento!$C$11,M43=monitoramento!$D$11),monitoramento!$E$11,IF(AND(L43=monitoramento!$C$12,M43=monitoramento!$D$12),monitoramento!$E$12,IF(AND(L43=monitoramento!$C$13,M43=monitoramento!$D$13),monitoramento!$E$13,IF(AND(L43=monitoramento!$C$14,M43=monitoramento!$D$14),monitoramento!$E$14,IF(AND(L43=monitoramento!$C$15,M43=monitoramento!$D$15),monitoramento!$E$15,IF(AND(L43=monitoramento!$C$16,M43=monitoramento!$D$16),monitoramento!$E$16,IF(AND(L43=monitoramento!$C$17,M43=monitoramento!$D$17),monitoramento!$E$17,IF(AND(L43=monitoramento!$C$18,M43=monitoramento!$D$18),monitoramento!$E$18,IF(AND(L43=monitoramento!$C$19,M43=monitoramento!$D$19),monitoramento!$E$19))))))))))))))))</f>
        <v>0</v>
      </c>
      <c r="O43" s="55"/>
      <c r="P43" s="55"/>
    </row>
    <row r="44" spans="8:16" ht="25.9" customHeight="1" thickBot="1" x14ac:dyDescent="0.25">
      <c r="H44" s="29">
        <f>AEP!BF49</f>
        <v>0</v>
      </c>
      <c r="I44" s="30">
        <f>AEP!BI49</f>
        <v>0</v>
      </c>
      <c r="J44" s="31">
        <f>AEP!BM49</f>
        <v>0</v>
      </c>
      <c r="K44" s="32" t="str">
        <f>IF(AND(I44=INCERTEZA!$B$3,J44=INCERTEZA!$C$3),INCERTEZA!$D$3,IF(AND(I44=INCERTEZA!$B$4,J44=INCERTEZA!$C$4),INCERTEZA!$D$4,IF(AND(I44=INCERTEZA!$B$5,J44=INCERTEZA!$C$5),INCERTEZA!$D$5,IF(AND(I44=INCERTEZA!$B$6,J44=INCERTEZA!$C$6),INCERTEZA!$D$6,IF(AND(I44=INCERTEZA!$B$7,J44=INCERTEZA!$C$7),INCERTEZA!$D$7,IF(AND(I44=INCERTEZA!$B$8,J44=INCERTEZA!$C$8),INCERTEZA!$D$8,IF(AND(I44=INCERTEZA!$B$9,J44=INCERTEZA!$C$9),INCERTEZA!$D$9,IF(AND(I44=INCERTEZA!$B$10,J44=INCERTEZA!$C$10),INCERTEZA!$D$10,IF(AND(I44=INCERTEZA!$B$11,J44=INCERTEZA!$C$11),INCERTEZA!$D$11,IF(AND(I44=INCERTEZA!$B$12,J44=INCERTEZA!$C$12),INCERTEZA!$D$12,IF(AND(I44=INCERTEZA!$B$13,J44=INCERTEZA!$C$13),INCERTEZA!$D$13,IF(AND(I44=INCERTEZA!$B$14,J44=INCERTEZA!$C$14),INCERTEZA!$D$14,IF(AND(I44=INCERTEZA!$B$15,J44=INCERTEZA!$C$15),INCERTEZA!$D$15,IF(AND(I44=INCERTEZA!$B$16,J44=INCERTEZA!$C$16),INCERTEZA!$D$16,IF(AND(I44=INCERTEZA!$B$17,J44=INCERTEZA!$C$17),INCERTEZA!$D$17,"-")))))))))))))))</f>
        <v>-</v>
      </c>
      <c r="L44" s="33">
        <f>AEP!CX49</f>
        <v>0</v>
      </c>
      <c r="M44" s="34">
        <f>AEP!CO49</f>
        <v>0</v>
      </c>
      <c r="N44" s="55" t="b">
        <f>IF(AND(L44=monitoramento!$C$4,M44=monitoramento!$D$4),monitoramento!$E$4,IF(AND(L44=monitoramento!$C$5,M44=monitoramento!$D$5),monitoramento!$E$5,IF(AND(L44=monitoramento!$C$6,M44=monitoramento!$D$6),monitoramento!$E$6,IF(AND(L44=monitoramento!$C$7,M44=monitoramento!$D$7),monitoramento!$E$7,IF(AND(L44=monitoramento!$C$8,M44=monitoramento!$D$8),monitoramento!$E$8,IF(AND(L44=monitoramento!$C$9,M44=monitoramento!$D$9),monitoramento!$E$9,IF(AND(L44=monitoramento!$C$10,M44=monitoramento!$D$10),monitoramento!$E$10,IF(AND(L44=monitoramento!$C$11,M44=monitoramento!$D$11),monitoramento!$E$11,IF(AND(L44=monitoramento!$C$12,M44=monitoramento!$D$12),monitoramento!$E$12,IF(AND(L44=monitoramento!$C$13,M44=monitoramento!$D$13),monitoramento!$E$13,IF(AND(L44=monitoramento!$C$14,M44=monitoramento!$D$14),monitoramento!$E$14,IF(AND(L44=monitoramento!$C$15,M44=monitoramento!$D$15),monitoramento!$E$15,IF(AND(L44=monitoramento!$C$16,M44=monitoramento!$D$16),monitoramento!$E$16,IF(AND(L44=monitoramento!$C$17,M44=monitoramento!$D$17),monitoramento!$E$17,IF(AND(L44=monitoramento!$C$18,M44=monitoramento!$D$18),monitoramento!$E$18,IF(AND(L44=monitoramento!$C$19,M44=monitoramento!$D$19),monitoramento!$E$19))))))))))))))))</f>
        <v>0</v>
      </c>
      <c r="O44" s="55"/>
      <c r="P44" s="55"/>
    </row>
    <row r="45" spans="8:16" ht="25.9" customHeight="1" thickBot="1" x14ac:dyDescent="0.25">
      <c r="H45" s="29">
        <f>AEP!BF50</f>
        <v>0</v>
      </c>
      <c r="I45" s="30">
        <f>AEP!BI50</f>
        <v>0</v>
      </c>
      <c r="J45" s="31">
        <f>AEP!BM50</f>
        <v>0</v>
      </c>
      <c r="K45" s="32" t="str">
        <f>IF(AND(I45=INCERTEZA!$B$3,J45=INCERTEZA!$C$3),INCERTEZA!$D$3,IF(AND(I45=INCERTEZA!$B$4,J45=INCERTEZA!$C$4),INCERTEZA!$D$4,IF(AND(I45=INCERTEZA!$B$5,J45=INCERTEZA!$C$5),INCERTEZA!$D$5,IF(AND(I45=INCERTEZA!$B$6,J45=INCERTEZA!$C$6),INCERTEZA!$D$6,IF(AND(I45=INCERTEZA!$B$7,J45=INCERTEZA!$C$7),INCERTEZA!$D$7,IF(AND(I45=INCERTEZA!$B$8,J45=INCERTEZA!$C$8),INCERTEZA!$D$8,IF(AND(I45=INCERTEZA!$B$9,J45=INCERTEZA!$C$9),INCERTEZA!$D$9,IF(AND(I45=INCERTEZA!$B$10,J45=INCERTEZA!$C$10),INCERTEZA!$D$10,IF(AND(I45=INCERTEZA!$B$11,J45=INCERTEZA!$C$11),INCERTEZA!$D$11,IF(AND(I45=INCERTEZA!$B$12,J45=INCERTEZA!$C$12),INCERTEZA!$D$12,IF(AND(I45=INCERTEZA!$B$13,J45=INCERTEZA!$C$13),INCERTEZA!$D$13,IF(AND(I45=INCERTEZA!$B$14,J45=INCERTEZA!$C$14),INCERTEZA!$D$14,IF(AND(I45=INCERTEZA!$B$15,J45=INCERTEZA!$C$15),INCERTEZA!$D$15,IF(AND(I45=INCERTEZA!$B$16,J45=INCERTEZA!$C$16),INCERTEZA!$D$16,IF(AND(I45=INCERTEZA!$B$17,J45=INCERTEZA!$C$17),INCERTEZA!$D$17,"-")))))))))))))))</f>
        <v>-</v>
      </c>
      <c r="L45" s="33">
        <f>AEP!CX50</f>
        <v>0</v>
      </c>
      <c r="M45" s="34">
        <f>AEP!CO50</f>
        <v>0</v>
      </c>
      <c r="N45" s="55" t="b">
        <f>IF(AND(L45=monitoramento!$C$4,M45=monitoramento!$D$4),monitoramento!$E$4,IF(AND(L45=monitoramento!$C$5,M45=monitoramento!$D$5),monitoramento!$E$5,IF(AND(L45=monitoramento!$C$6,M45=monitoramento!$D$6),monitoramento!$E$6,IF(AND(L45=monitoramento!$C$7,M45=monitoramento!$D$7),monitoramento!$E$7,IF(AND(L45=monitoramento!$C$8,M45=monitoramento!$D$8),monitoramento!$E$8,IF(AND(L45=monitoramento!$C$9,M45=monitoramento!$D$9),monitoramento!$E$9,IF(AND(L45=monitoramento!$C$10,M45=monitoramento!$D$10),monitoramento!$E$10,IF(AND(L45=monitoramento!$C$11,M45=monitoramento!$D$11),monitoramento!$E$11,IF(AND(L45=monitoramento!$C$12,M45=monitoramento!$D$12),monitoramento!$E$12,IF(AND(L45=monitoramento!$C$13,M45=monitoramento!$D$13),monitoramento!$E$13,IF(AND(L45=monitoramento!$C$14,M45=monitoramento!$D$14),monitoramento!$E$14,IF(AND(L45=monitoramento!$C$15,M45=monitoramento!$D$15),monitoramento!$E$15,IF(AND(L45=monitoramento!$C$16,M45=monitoramento!$D$16),monitoramento!$E$16,IF(AND(L45=monitoramento!$C$17,M45=monitoramento!$D$17),monitoramento!$E$17,IF(AND(L45=monitoramento!$C$18,M45=monitoramento!$D$18),monitoramento!$E$18,IF(AND(L45=monitoramento!$C$19,M45=monitoramento!$D$19),monitoramento!$E$19))))))))))))))))</f>
        <v>0</v>
      </c>
      <c r="O45" s="55"/>
      <c r="P45" s="55"/>
    </row>
    <row r="46" spans="8:16" ht="25.9" customHeight="1" thickBot="1" x14ac:dyDescent="0.25">
      <c r="H46" s="29">
        <f>AEP!BF51</f>
        <v>0</v>
      </c>
      <c r="I46" s="30">
        <f>AEP!BI51</f>
        <v>0</v>
      </c>
      <c r="J46" s="31">
        <f>AEP!BM51</f>
        <v>0</v>
      </c>
      <c r="K46" s="32" t="str">
        <f>IF(AND(I46=INCERTEZA!$B$3,J46=INCERTEZA!$C$3),INCERTEZA!$D$3,IF(AND(I46=INCERTEZA!$B$4,J46=INCERTEZA!$C$4),INCERTEZA!$D$4,IF(AND(I46=INCERTEZA!$B$5,J46=INCERTEZA!$C$5),INCERTEZA!$D$5,IF(AND(I46=INCERTEZA!$B$6,J46=INCERTEZA!$C$6),INCERTEZA!$D$6,IF(AND(I46=INCERTEZA!$B$7,J46=INCERTEZA!$C$7),INCERTEZA!$D$7,IF(AND(I46=INCERTEZA!$B$8,J46=INCERTEZA!$C$8),INCERTEZA!$D$8,IF(AND(I46=INCERTEZA!$B$9,J46=INCERTEZA!$C$9),INCERTEZA!$D$9,IF(AND(I46=INCERTEZA!$B$10,J46=INCERTEZA!$C$10),INCERTEZA!$D$10,IF(AND(I46=INCERTEZA!$B$11,J46=INCERTEZA!$C$11),INCERTEZA!$D$11,IF(AND(I46=INCERTEZA!$B$12,J46=INCERTEZA!$C$12),INCERTEZA!$D$12,IF(AND(I46=INCERTEZA!$B$13,J46=INCERTEZA!$C$13),INCERTEZA!$D$13,IF(AND(I46=INCERTEZA!$B$14,J46=INCERTEZA!$C$14),INCERTEZA!$D$14,IF(AND(I46=INCERTEZA!$B$15,J46=INCERTEZA!$C$15),INCERTEZA!$D$15,IF(AND(I46=INCERTEZA!$B$16,J46=INCERTEZA!$C$16),INCERTEZA!$D$16,IF(AND(I46=INCERTEZA!$B$17,J46=INCERTEZA!$C$17),INCERTEZA!$D$17,"-")))))))))))))))</f>
        <v>-</v>
      </c>
      <c r="L46" s="33">
        <f>AEP!CX51</f>
        <v>0</v>
      </c>
      <c r="M46" s="34">
        <f>AEP!CO51</f>
        <v>0</v>
      </c>
      <c r="N46" s="55" t="b">
        <f>IF(AND(L46=monitoramento!$C$4,M46=monitoramento!$D$4),monitoramento!$E$4,IF(AND(L46=monitoramento!$C$5,M46=monitoramento!$D$5),monitoramento!$E$5,IF(AND(L46=monitoramento!$C$6,M46=monitoramento!$D$6),monitoramento!$E$6,IF(AND(L46=monitoramento!$C$7,M46=monitoramento!$D$7),monitoramento!$E$7,IF(AND(L46=monitoramento!$C$8,M46=monitoramento!$D$8),monitoramento!$E$8,IF(AND(L46=monitoramento!$C$9,M46=monitoramento!$D$9),monitoramento!$E$9,IF(AND(L46=monitoramento!$C$10,M46=monitoramento!$D$10),monitoramento!$E$10,IF(AND(L46=monitoramento!$C$11,M46=monitoramento!$D$11),monitoramento!$E$11,IF(AND(L46=monitoramento!$C$12,M46=monitoramento!$D$12),monitoramento!$E$12,IF(AND(L46=monitoramento!$C$13,M46=monitoramento!$D$13),monitoramento!$E$13,IF(AND(L46=monitoramento!$C$14,M46=monitoramento!$D$14),monitoramento!$E$14,IF(AND(L46=monitoramento!$C$15,M46=monitoramento!$D$15),monitoramento!$E$15,IF(AND(L46=monitoramento!$C$16,M46=monitoramento!$D$16),monitoramento!$E$16,IF(AND(L46=monitoramento!$C$17,M46=monitoramento!$D$17),monitoramento!$E$17,IF(AND(L46=monitoramento!$C$18,M46=monitoramento!$D$18),monitoramento!$E$18,IF(AND(L46=monitoramento!$C$19,M46=monitoramento!$D$19),monitoramento!$E$19))))))))))))))))</f>
        <v>0</v>
      </c>
      <c r="O46" s="55"/>
      <c r="P46" s="55"/>
    </row>
    <row r="47" spans="8:16" ht="25.9" customHeight="1" thickBot="1" x14ac:dyDescent="0.25">
      <c r="H47" s="29">
        <f>AEP!BF52</f>
        <v>0</v>
      </c>
      <c r="I47" s="30">
        <f>AEP!BI52</f>
        <v>0</v>
      </c>
      <c r="J47" s="31">
        <f>AEP!BM52</f>
        <v>0</v>
      </c>
      <c r="K47" s="32" t="str">
        <f>IF(AND(I47=INCERTEZA!$B$3,J47=INCERTEZA!$C$3),INCERTEZA!$D$3,IF(AND(I47=INCERTEZA!$B$4,J47=INCERTEZA!$C$4),INCERTEZA!$D$4,IF(AND(I47=INCERTEZA!$B$5,J47=INCERTEZA!$C$5),INCERTEZA!$D$5,IF(AND(I47=INCERTEZA!$B$6,J47=INCERTEZA!$C$6),INCERTEZA!$D$6,IF(AND(I47=INCERTEZA!$B$7,J47=INCERTEZA!$C$7),INCERTEZA!$D$7,IF(AND(I47=INCERTEZA!$B$8,J47=INCERTEZA!$C$8),INCERTEZA!$D$8,IF(AND(I47=INCERTEZA!$B$9,J47=INCERTEZA!$C$9),INCERTEZA!$D$9,IF(AND(I47=INCERTEZA!$B$10,J47=INCERTEZA!$C$10),INCERTEZA!$D$10,IF(AND(I47=INCERTEZA!$B$11,J47=INCERTEZA!$C$11),INCERTEZA!$D$11,IF(AND(I47=INCERTEZA!$B$12,J47=INCERTEZA!$C$12),INCERTEZA!$D$12,IF(AND(I47=INCERTEZA!$B$13,J47=INCERTEZA!$C$13),INCERTEZA!$D$13,IF(AND(I47=INCERTEZA!$B$14,J47=INCERTEZA!$C$14),INCERTEZA!$D$14,IF(AND(I47=INCERTEZA!$B$15,J47=INCERTEZA!$C$15),INCERTEZA!$D$15,IF(AND(I47=INCERTEZA!$B$16,J47=INCERTEZA!$C$16),INCERTEZA!$D$16,IF(AND(I47=INCERTEZA!$B$17,J47=INCERTEZA!$C$17),INCERTEZA!$D$17,"-")))))))))))))))</f>
        <v>-</v>
      </c>
      <c r="L47" s="33">
        <f>AEP!CX52</f>
        <v>0</v>
      </c>
      <c r="M47" s="34">
        <f>AEP!CO52</f>
        <v>0</v>
      </c>
      <c r="N47" s="55" t="b">
        <f>IF(AND(L47=monitoramento!$C$4,M47=monitoramento!$D$4),monitoramento!$E$4,IF(AND(L47=monitoramento!$C$5,M47=monitoramento!$D$5),monitoramento!$E$5,IF(AND(L47=monitoramento!$C$6,M47=monitoramento!$D$6),monitoramento!$E$6,IF(AND(L47=monitoramento!$C$7,M47=monitoramento!$D$7),monitoramento!$E$7,IF(AND(L47=monitoramento!$C$8,M47=monitoramento!$D$8),monitoramento!$E$8,IF(AND(L47=monitoramento!$C$9,M47=monitoramento!$D$9),monitoramento!$E$9,IF(AND(L47=monitoramento!$C$10,M47=monitoramento!$D$10),monitoramento!$E$10,IF(AND(L47=monitoramento!$C$11,M47=monitoramento!$D$11),monitoramento!$E$11,IF(AND(L47=monitoramento!$C$12,M47=monitoramento!$D$12),monitoramento!$E$12,IF(AND(L47=monitoramento!$C$13,M47=monitoramento!$D$13),monitoramento!$E$13,IF(AND(L47=monitoramento!$C$14,M47=monitoramento!$D$14),monitoramento!$E$14,IF(AND(L47=monitoramento!$C$15,M47=monitoramento!$D$15),monitoramento!$E$15,IF(AND(L47=monitoramento!$C$16,M47=monitoramento!$D$16),monitoramento!$E$16,IF(AND(L47=monitoramento!$C$17,M47=monitoramento!$D$17),monitoramento!$E$17,IF(AND(L47=monitoramento!$C$18,M47=monitoramento!$D$18),monitoramento!$E$18,IF(AND(L47=monitoramento!$C$19,M47=monitoramento!$D$19),monitoramento!$E$19))))))))))))))))</f>
        <v>0</v>
      </c>
      <c r="O47" s="55"/>
      <c r="P47" s="55"/>
    </row>
    <row r="48" spans="8:16" ht="25.9" customHeight="1" thickBot="1" x14ac:dyDescent="0.25">
      <c r="H48" s="29">
        <f>AEP!BF53</f>
        <v>0</v>
      </c>
      <c r="I48" s="30">
        <f>AEP!BI53</f>
        <v>0</v>
      </c>
      <c r="J48" s="31">
        <f>AEP!BM53</f>
        <v>0</v>
      </c>
      <c r="K48" s="32" t="str">
        <f>IF(AND(I48=INCERTEZA!$B$3,J48=INCERTEZA!$C$3),INCERTEZA!$D$3,IF(AND(I48=INCERTEZA!$B$4,J48=INCERTEZA!$C$4),INCERTEZA!$D$4,IF(AND(I48=INCERTEZA!$B$5,J48=INCERTEZA!$C$5),INCERTEZA!$D$5,IF(AND(I48=INCERTEZA!$B$6,J48=INCERTEZA!$C$6),INCERTEZA!$D$6,IF(AND(I48=INCERTEZA!$B$7,J48=INCERTEZA!$C$7),INCERTEZA!$D$7,IF(AND(I48=INCERTEZA!$B$8,J48=INCERTEZA!$C$8),INCERTEZA!$D$8,IF(AND(I48=INCERTEZA!$B$9,J48=INCERTEZA!$C$9),INCERTEZA!$D$9,IF(AND(I48=INCERTEZA!$B$10,J48=INCERTEZA!$C$10),INCERTEZA!$D$10,IF(AND(I48=INCERTEZA!$B$11,J48=INCERTEZA!$C$11),INCERTEZA!$D$11,IF(AND(I48=INCERTEZA!$B$12,J48=INCERTEZA!$C$12),INCERTEZA!$D$12,IF(AND(I48=INCERTEZA!$B$13,J48=INCERTEZA!$C$13),INCERTEZA!$D$13,IF(AND(I48=INCERTEZA!$B$14,J48=INCERTEZA!$C$14),INCERTEZA!$D$14,IF(AND(I48=INCERTEZA!$B$15,J48=INCERTEZA!$C$15),INCERTEZA!$D$15,IF(AND(I48=INCERTEZA!$B$16,J48=INCERTEZA!$C$16),INCERTEZA!$D$16,IF(AND(I48=INCERTEZA!$B$17,J48=INCERTEZA!$C$17),INCERTEZA!$D$17,"-")))))))))))))))</f>
        <v>-</v>
      </c>
      <c r="L48" s="33">
        <f>AEP!CX53</f>
        <v>0</v>
      </c>
      <c r="M48" s="34">
        <f>AEP!CO53</f>
        <v>0</v>
      </c>
      <c r="N48" s="55" t="b">
        <f>IF(AND(L48=monitoramento!$C$4,M48=monitoramento!$D$4),monitoramento!$E$4,IF(AND(L48=monitoramento!$C$5,M48=monitoramento!$D$5),monitoramento!$E$5,IF(AND(L48=monitoramento!$C$6,M48=monitoramento!$D$6),monitoramento!$E$6,IF(AND(L48=monitoramento!$C$7,M48=monitoramento!$D$7),monitoramento!$E$7,IF(AND(L48=monitoramento!$C$8,M48=monitoramento!$D$8),monitoramento!$E$8,IF(AND(L48=monitoramento!$C$9,M48=monitoramento!$D$9),monitoramento!$E$9,IF(AND(L48=monitoramento!$C$10,M48=monitoramento!$D$10),monitoramento!$E$10,IF(AND(L48=monitoramento!$C$11,M48=monitoramento!$D$11),monitoramento!$E$11,IF(AND(L48=monitoramento!$C$12,M48=monitoramento!$D$12),monitoramento!$E$12,IF(AND(L48=monitoramento!$C$13,M48=monitoramento!$D$13),monitoramento!$E$13,IF(AND(L48=monitoramento!$C$14,M48=monitoramento!$D$14),monitoramento!$E$14,IF(AND(L48=monitoramento!$C$15,M48=monitoramento!$D$15),monitoramento!$E$15,IF(AND(L48=monitoramento!$C$16,M48=monitoramento!$D$16),monitoramento!$E$16,IF(AND(L48=monitoramento!$C$17,M48=monitoramento!$D$17),monitoramento!$E$17,IF(AND(L48=monitoramento!$C$18,M48=monitoramento!$D$18),monitoramento!$E$18,IF(AND(L48=monitoramento!$C$19,M48=monitoramento!$D$19),monitoramento!$E$19))))))))))))))))</f>
        <v>0</v>
      </c>
      <c r="O48" s="55"/>
      <c r="P48" s="55"/>
    </row>
    <row r="49" spans="8:16" ht="25.9" customHeight="1" thickBot="1" x14ac:dyDescent="0.25">
      <c r="H49" s="29">
        <f>AEP!BF54</f>
        <v>0</v>
      </c>
      <c r="I49" s="30">
        <f>AEP!BI54</f>
        <v>0</v>
      </c>
      <c r="J49" s="31">
        <f>AEP!BM54</f>
        <v>0</v>
      </c>
      <c r="K49" s="32" t="str">
        <f>IF(AND(I49=INCERTEZA!$B$3,J49=INCERTEZA!$C$3),INCERTEZA!$D$3,IF(AND(I49=INCERTEZA!$B$4,J49=INCERTEZA!$C$4),INCERTEZA!$D$4,IF(AND(I49=INCERTEZA!$B$5,J49=INCERTEZA!$C$5),INCERTEZA!$D$5,IF(AND(I49=INCERTEZA!$B$6,J49=INCERTEZA!$C$6),INCERTEZA!$D$6,IF(AND(I49=INCERTEZA!$B$7,J49=INCERTEZA!$C$7),INCERTEZA!$D$7,IF(AND(I49=INCERTEZA!$B$8,J49=INCERTEZA!$C$8),INCERTEZA!$D$8,IF(AND(I49=INCERTEZA!$B$9,J49=INCERTEZA!$C$9),INCERTEZA!$D$9,IF(AND(I49=INCERTEZA!$B$10,J49=INCERTEZA!$C$10),INCERTEZA!$D$10,IF(AND(I49=INCERTEZA!$B$11,J49=INCERTEZA!$C$11),INCERTEZA!$D$11,IF(AND(I49=INCERTEZA!$B$12,J49=INCERTEZA!$C$12),INCERTEZA!$D$12,IF(AND(I49=INCERTEZA!$B$13,J49=INCERTEZA!$C$13),INCERTEZA!$D$13,IF(AND(I49=INCERTEZA!$B$14,J49=INCERTEZA!$C$14),INCERTEZA!$D$14,IF(AND(I49=INCERTEZA!$B$15,J49=INCERTEZA!$C$15),INCERTEZA!$D$15,IF(AND(I49=INCERTEZA!$B$16,J49=INCERTEZA!$C$16),INCERTEZA!$D$16,IF(AND(I49=INCERTEZA!$B$17,J49=INCERTEZA!$C$17),INCERTEZA!$D$17,"-")))))))))))))))</f>
        <v>-</v>
      </c>
      <c r="L49" s="33">
        <f>AEP!CX54</f>
        <v>0</v>
      </c>
      <c r="M49" s="34">
        <f>AEP!CO54</f>
        <v>0</v>
      </c>
      <c r="N49" s="55" t="b">
        <f>IF(AND(L49=monitoramento!$C$4,M49=monitoramento!$D$4),monitoramento!$E$4,IF(AND(L49=monitoramento!$C$5,M49=monitoramento!$D$5),monitoramento!$E$5,IF(AND(L49=monitoramento!$C$6,M49=monitoramento!$D$6),monitoramento!$E$6,IF(AND(L49=monitoramento!$C$7,M49=monitoramento!$D$7),monitoramento!$E$7,IF(AND(L49=monitoramento!$C$8,M49=monitoramento!$D$8),monitoramento!$E$8,IF(AND(L49=monitoramento!$C$9,M49=monitoramento!$D$9),monitoramento!$E$9,IF(AND(L49=monitoramento!$C$10,M49=monitoramento!$D$10),monitoramento!$E$10,IF(AND(L49=monitoramento!$C$11,M49=monitoramento!$D$11),monitoramento!$E$11,IF(AND(L49=monitoramento!$C$12,M49=monitoramento!$D$12),monitoramento!$E$12,IF(AND(L49=monitoramento!$C$13,M49=monitoramento!$D$13),monitoramento!$E$13,IF(AND(L49=monitoramento!$C$14,M49=monitoramento!$D$14),monitoramento!$E$14,IF(AND(L49=monitoramento!$C$15,M49=monitoramento!$D$15),monitoramento!$E$15,IF(AND(L49=monitoramento!$C$16,M49=monitoramento!$D$16),monitoramento!$E$16,IF(AND(L49=monitoramento!$C$17,M49=monitoramento!$D$17),monitoramento!$E$17,IF(AND(L49=monitoramento!$C$18,M49=monitoramento!$D$18),monitoramento!$E$18,IF(AND(L49=monitoramento!$C$19,M49=monitoramento!$D$19),monitoramento!$E$19))))))))))))))))</f>
        <v>0</v>
      </c>
      <c r="O49" s="55"/>
      <c r="P49" s="55"/>
    </row>
    <row r="50" spans="8:16" ht="25.9" customHeight="1" thickBot="1" x14ac:dyDescent="0.25">
      <c r="H50" s="29">
        <f>AEP!BF55</f>
        <v>0</v>
      </c>
      <c r="I50" s="30">
        <f>AEP!BI55</f>
        <v>0</v>
      </c>
      <c r="J50" s="31">
        <f>AEP!BM55</f>
        <v>0</v>
      </c>
      <c r="K50" s="32" t="str">
        <f>IF(AND(I50=INCERTEZA!$B$3,J50=INCERTEZA!$C$3),INCERTEZA!$D$3,IF(AND(I50=INCERTEZA!$B$4,J50=INCERTEZA!$C$4),INCERTEZA!$D$4,IF(AND(I50=INCERTEZA!$B$5,J50=INCERTEZA!$C$5),INCERTEZA!$D$5,IF(AND(I50=INCERTEZA!$B$6,J50=INCERTEZA!$C$6),INCERTEZA!$D$6,IF(AND(I50=INCERTEZA!$B$7,J50=INCERTEZA!$C$7),INCERTEZA!$D$7,IF(AND(I50=INCERTEZA!$B$8,J50=INCERTEZA!$C$8),INCERTEZA!$D$8,IF(AND(I50=INCERTEZA!$B$9,J50=INCERTEZA!$C$9),INCERTEZA!$D$9,IF(AND(I50=INCERTEZA!$B$10,J50=INCERTEZA!$C$10),INCERTEZA!$D$10,IF(AND(I50=INCERTEZA!$B$11,J50=INCERTEZA!$C$11),INCERTEZA!$D$11,IF(AND(I50=INCERTEZA!$B$12,J50=INCERTEZA!$C$12),INCERTEZA!$D$12,IF(AND(I50=INCERTEZA!$B$13,J50=INCERTEZA!$C$13),INCERTEZA!$D$13,IF(AND(I50=INCERTEZA!$B$14,J50=INCERTEZA!$C$14),INCERTEZA!$D$14,IF(AND(I50=INCERTEZA!$B$15,J50=INCERTEZA!$C$15),INCERTEZA!$D$15,IF(AND(I50=INCERTEZA!$B$16,J50=INCERTEZA!$C$16),INCERTEZA!$D$16,IF(AND(I50=INCERTEZA!$B$17,J50=INCERTEZA!$C$17),INCERTEZA!$D$17,"-")))))))))))))))</f>
        <v>-</v>
      </c>
      <c r="L50" s="33">
        <f>AEP!CX55</f>
        <v>0</v>
      </c>
      <c r="M50" s="34">
        <f>AEP!CO55</f>
        <v>0</v>
      </c>
      <c r="N50" s="55" t="b">
        <f>IF(AND(L50=monitoramento!$C$4,M50=monitoramento!$D$4),monitoramento!$E$4,IF(AND(L50=monitoramento!$C$5,M50=monitoramento!$D$5),monitoramento!$E$5,IF(AND(L50=monitoramento!$C$6,M50=monitoramento!$D$6),monitoramento!$E$6,IF(AND(L50=monitoramento!$C$7,M50=monitoramento!$D$7),monitoramento!$E$7,IF(AND(L50=monitoramento!$C$8,M50=monitoramento!$D$8),monitoramento!$E$8,IF(AND(L50=monitoramento!$C$9,M50=monitoramento!$D$9),monitoramento!$E$9,IF(AND(L50=monitoramento!$C$10,M50=monitoramento!$D$10),monitoramento!$E$10,IF(AND(L50=monitoramento!$C$11,M50=monitoramento!$D$11),monitoramento!$E$11,IF(AND(L50=monitoramento!$C$12,M50=monitoramento!$D$12),monitoramento!$E$12,IF(AND(L50=monitoramento!$C$13,M50=monitoramento!$D$13),monitoramento!$E$13,IF(AND(L50=monitoramento!$C$14,M50=monitoramento!$D$14),monitoramento!$E$14,IF(AND(L50=monitoramento!$C$15,M50=monitoramento!$D$15),monitoramento!$E$15,IF(AND(L50=monitoramento!$C$16,M50=monitoramento!$D$16),monitoramento!$E$16,IF(AND(L50=monitoramento!$C$17,M50=monitoramento!$D$17),monitoramento!$E$17,IF(AND(L50=monitoramento!$C$18,M50=monitoramento!$D$18),monitoramento!$E$18,IF(AND(L50=monitoramento!$C$19,M50=monitoramento!$D$19),monitoramento!$E$19))))))))))))))))</f>
        <v>0</v>
      </c>
      <c r="O50" s="55"/>
      <c r="P50" s="55"/>
    </row>
    <row r="51" spans="8:16" ht="25.9" customHeight="1" thickBot="1" x14ac:dyDescent="0.25">
      <c r="H51" s="29">
        <f>AEP!BF56</f>
        <v>0</v>
      </c>
      <c r="I51" s="30">
        <f>AEP!BI56</f>
        <v>0</v>
      </c>
      <c r="J51" s="31">
        <f>AEP!BM56</f>
        <v>0</v>
      </c>
      <c r="K51" s="32" t="str">
        <f>IF(AND(I51=INCERTEZA!$B$3,J51=INCERTEZA!$C$3),INCERTEZA!$D$3,IF(AND(I51=INCERTEZA!$B$4,J51=INCERTEZA!$C$4),INCERTEZA!$D$4,IF(AND(I51=INCERTEZA!$B$5,J51=INCERTEZA!$C$5),INCERTEZA!$D$5,IF(AND(I51=INCERTEZA!$B$6,J51=INCERTEZA!$C$6),INCERTEZA!$D$6,IF(AND(I51=INCERTEZA!$B$7,J51=INCERTEZA!$C$7),INCERTEZA!$D$7,IF(AND(I51=INCERTEZA!$B$8,J51=INCERTEZA!$C$8),INCERTEZA!$D$8,IF(AND(I51=INCERTEZA!$B$9,J51=INCERTEZA!$C$9),INCERTEZA!$D$9,IF(AND(I51=INCERTEZA!$B$10,J51=INCERTEZA!$C$10),INCERTEZA!$D$10,IF(AND(I51=INCERTEZA!$B$11,J51=INCERTEZA!$C$11),INCERTEZA!$D$11,IF(AND(I51=INCERTEZA!$B$12,J51=INCERTEZA!$C$12),INCERTEZA!$D$12,IF(AND(I51=INCERTEZA!$B$13,J51=INCERTEZA!$C$13),INCERTEZA!$D$13,IF(AND(I51=INCERTEZA!$B$14,J51=INCERTEZA!$C$14),INCERTEZA!$D$14,IF(AND(I51=INCERTEZA!$B$15,J51=INCERTEZA!$C$15),INCERTEZA!$D$15,IF(AND(I51=INCERTEZA!$B$16,J51=INCERTEZA!$C$16),INCERTEZA!$D$16,IF(AND(I51=INCERTEZA!$B$17,J51=INCERTEZA!$C$17),INCERTEZA!$D$17,"-")))))))))))))))</f>
        <v>-</v>
      </c>
      <c r="L51" s="33">
        <f>AEP!CX56</f>
        <v>0</v>
      </c>
      <c r="M51" s="34">
        <f>AEP!CO56</f>
        <v>0</v>
      </c>
      <c r="N51" s="55" t="b">
        <f>IF(AND(L51=monitoramento!$C$4,M51=monitoramento!$D$4),monitoramento!$E$4,IF(AND(L51=monitoramento!$C$5,M51=monitoramento!$D$5),monitoramento!$E$5,IF(AND(L51=monitoramento!$C$6,M51=monitoramento!$D$6),monitoramento!$E$6,IF(AND(L51=monitoramento!$C$7,M51=monitoramento!$D$7),monitoramento!$E$7,IF(AND(L51=monitoramento!$C$8,M51=monitoramento!$D$8),monitoramento!$E$8,IF(AND(L51=monitoramento!$C$9,M51=monitoramento!$D$9),monitoramento!$E$9,IF(AND(L51=monitoramento!$C$10,M51=monitoramento!$D$10),monitoramento!$E$10,IF(AND(L51=monitoramento!$C$11,M51=monitoramento!$D$11),monitoramento!$E$11,IF(AND(L51=monitoramento!$C$12,M51=monitoramento!$D$12),monitoramento!$E$12,IF(AND(L51=monitoramento!$C$13,M51=monitoramento!$D$13),monitoramento!$E$13,IF(AND(L51=monitoramento!$C$14,M51=monitoramento!$D$14),monitoramento!$E$14,IF(AND(L51=monitoramento!$C$15,M51=monitoramento!$D$15),monitoramento!$E$15,IF(AND(L51=monitoramento!$C$16,M51=monitoramento!$D$16),monitoramento!$E$16,IF(AND(L51=monitoramento!$C$17,M51=monitoramento!$D$17),monitoramento!$E$17,IF(AND(L51=monitoramento!$C$18,M51=monitoramento!$D$18),monitoramento!$E$18,IF(AND(L51=monitoramento!$C$19,M51=monitoramento!$D$19),monitoramento!$E$19))))))))))))))))</f>
        <v>0</v>
      </c>
      <c r="O51" s="55"/>
      <c r="P51" s="55"/>
    </row>
    <row r="52" spans="8:16" ht="25.9" customHeight="1" thickBot="1" x14ac:dyDescent="0.25">
      <c r="H52" s="29">
        <f>AEP!BF57</f>
        <v>0</v>
      </c>
      <c r="I52" s="30">
        <f>AEP!BI57</f>
        <v>0</v>
      </c>
      <c r="J52" s="31">
        <f>AEP!BM57</f>
        <v>0</v>
      </c>
      <c r="K52" s="32" t="str">
        <f>IF(AND(I52=INCERTEZA!$B$3,J52=INCERTEZA!$C$3),INCERTEZA!$D$3,IF(AND(I52=INCERTEZA!$B$4,J52=INCERTEZA!$C$4),INCERTEZA!$D$4,IF(AND(I52=INCERTEZA!$B$5,J52=INCERTEZA!$C$5),INCERTEZA!$D$5,IF(AND(I52=INCERTEZA!$B$6,J52=INCERTEZA!$C$6),INCERTEZA!$D$6,IF(AND(I52=INCERTEZA!$B$7,J52=INCERTEZA!$C$7),INCERTEZA!$D$7,IF(AND(I52=INCERTEZA!$B$8,J52=INCERTEZA!$C$8),INCERTEZA!$D$8,IF(AND(I52=INCERTEZA!$B$9,J52=INCERTEZA!$C$9),INCERTEZA!$D$9,IF(AND(I52=INCERTEZA!$B$10,J52=INCERTEZA!$C$10),INCERTEZA!$D$10,IF(AND(I52=INCERTEZA!$B$11,J52=INCERTEZA!$C$11),INCERTEZA!$D$11,IF(AND(I52=INCERTEZA!$B$12,J52=INCERTEZA!$C$12),INCERTEZA!$D$12,IF(AND(I52=INCERTEZA!$B$13,J52=INCERTEZA!$C$13),INCERTEZA!$D$13,IF(AND(I52=INCERTEZA!$B$14,J52=INCERTEZA!$C$14),INCERTEZA!$D$14,IF(AND(I52=INCERTEZA!$B$15,J52=INCERTEZA!$C$15),INCERTEZA!$D$15,IF(AND(I52=INCERTEZA!$B$16,J52=INCERTEZA!$C$16),INCERTEZA!$D$16,IF(AND(I52=INCERTEZA!$B$17,J52=INCERTEZA!$C$17),INCERTEZA!$D$17,"-")))))))))))))))</f>
        <v>-</v>
      </c>
      <c r="L52" s="33">
        <f>AEP!CX57</f>
        <v>0</v>
      </c>
      <c r="M52" s="34">
        <f>AEP!CO57</f>
        <v>0</v>
      </c>
      <c r="N52" s="55" t="b">
        <f>IF(AND(L52=monitoramento!$C$4,M52=monitoramento!$D$4),monitoramento!$E$4,IF(AND(L52=monitoramento!$C$5,M52=monitoramento!$D$5),monitoramento!$E$5,IF(AND(L52=monitoramento!$C$6,M52=monitoramento!$D$6),monitoramento!$E$6,IF(AND(L52=monitoramento!$C$7,M52=monitoramento!$D$7),monitoramento!$E$7,IF(AND(L52=monitoramento!$C$8,M52=monitoramento!$D$8),monitoramento!$E$8,IF(AND(L52=monitoramento!$C$9,M52=monitoramento!$D$9),monitoramento!$E$9,IF(AND(L52=monitoramento!$C$10,M52=monitoramento!$D$10),monitoramento!$E$10,IF(AND(L52=monitoramento!$C$11,M52=monitoramento!$D$11),monitoramento!$E$11,IF(AND(L52=monitoramento!$C$12,M52=monitoramento!$D$12),monitoramento!$E$12,IF(AND(L52=monitoramento!$C$13,M52=monitoramento!$D$13),monitoramento!$E$13,IF(AND(L52=monitoramento!$C$14,M52=monitoramento!$D$14),monitoramento!$E$14,IF(AND(L52=monitoramento!$C$15,M52=monitoramento!$D$15),monitoramento!$E$15,IF(AND(L52=monitoramento!$C$16,M52=monitoramento!$D$16),monitoramento!$E$16,IF(AND(L52=monitoramento!$C$17,M52=monitoramento!$D$17),monitoramento!$E$17,IF(AND(L52=monitoramento!$C$18,M52=monitoramento!$D$18),monitoramento!$E$18,IF(AND(L52=monitoramento!$C$19,M52=monitoramento!$D$19),monitoramento!$E$19))))))))))))))))</f>
        <v>0</v>
      </c>
      <c r="O52" s="55"/>
      <c r="P52" s="55"/>
    </row>
    <row r="53" spans="8:16" ht="25.9" customHeight="1" thickBot="1" x14ac:dyDescent="0.25">
      <c r="H53" s="29">
        <f>AEP!BF58</f>
        <v>0</v>
      </c>
      <c r="I53" s="30">
        <f>AEP!BI58</f>
        <v>0</v>
      </c>
      <c r="J53" s="31">
        <f>AEP!BM58</f>
        <v>0</v>
      </c>
      <c r="K53" s="32" t="str">
        <f>IF(AND(I53=INCERTEZA!$B$3,J53=INCERTEZA!$C$3),INCERTEZA!$D$3,IF(AND(I53=INCERTEZA!$B$4,J53=INCERTEZA!$C$4),INCERTEZA!$D$4,IF(AND(I53=INCERTEZA!$B$5,J53=INCERTEZA!$C$5),INCERTEZA!$D$5,IF(AND(I53=INCERTEZA!$B$6,J53=INCERTEZA!$C$6),INCERTEZA!$D$6,IF(AND(I53=INCERTEZA!$B$7,J53=INCERTEZA!$C$7),INCERTEZA!$D$7,IF(AND(I53=INCERTEZA!$B$8,J53=INCERTEZA!$C$8),INCERTEZA!$D$8,IF(AND(I53=INCERTEZA!$B$9,J53=INCERTEZA!$C$9),INCERTEZA!$D$9,IF(AND(I53=INCERTEZA!$B$10,J53=INCERTEZA!$C$10),INCERTEZA!$D$10,IF(AND(I53=INCERTEZA!$B$11,J53=INCERTEZA!$C$11),INCERTEZA!$D$11,IF(AND(I53=INCERTEZA!$B$12,J53=INCERTEZA!$C$12),INCERTEZA!$D$12,IF(AND(I53=INCERTEZA!$B$13,J53=INCERTEZA!$C$13),INCERTEZA!$D$13,IF(AND(I53=INCERTEZA!$B$14,J53=INCERTEZA!$C$14),INCERTEZA!$D$14,IF(AND(I53=INCERTEZA!$B$15,J53=INCERTEZA!$C$15),INCERTEZA!$D$15,IF(AND(I53=INCERTEZA!$B$16,J53=INCERTEZA!$C$16),INCERTEZA!$D$16,IF(AND(I53=INCERTEZA!$B$17,J53=INCERTEZA!$C$17),INCERTEZA!$D$17,"-")))))))))))))))</f>
        <v>-</v>
      </c>
      <c r="L53" s="33">
        <f>AEP!CX58</f>
        <v>0</v>
      </c>
      <c r="M53" s="34">
        <f>AEP!CO58</f>
        <v>0</v>
      </c>
      <c r="N53" s="55" t="b">
        <f>IF(AND(L53=monitoramento!$C$4,M53=monitoramento!$D$4),monitoramento!$E$4,IF(AND(L53=monitoramento!$C$5,M53=monitoramento!$D$5),monitoramento!$E$5,IF(AND(L53=monitoramento!$C$6,M53=monitoramento!$D$6),monitoramento!$E$6,IF(AND(L53=monitoramento!$C$7,M53=monitoramento!$D$7),monitoramento!$E$7,IF(AND(L53=monitoramento!$C$8,M53=monitoramento!$D$8),monitoramento!$E$8,IF(AND(L53=monitoramento!$C$9,M53=monitoramento!$D$9),monitoramento!$E$9,IF(AND(L53=monitoramento!$C$10,M53=monitoramento!$D$10),monitoramento!$E$10,IF(AND(L53=monitoramento!$C$11,M53=monitoramento!$D$11),monitoramento!$E$11,IF(AND(L53=monitoramento!$C$12,M53=monitoramento!$D$12),monitoramento!$E$12,IF(AND(L53=monitoramento!$C$13,M53=monitoramento!$D$13),monitoramento!$E$13,IF(AND(L53=monitoramento!$C$14,M53=monitoramento!$D$14),monitoramento!$E$14,IF(AND(L53=monitoramento!$C$15,M53=monitoramento!$D$15),monitoramento!$E$15,IF(AND(L53=monitoramento!$C$16,M53=monitoramento!$D$16),monitoramento!$E$16,IF(AND(L53=monitoramento!$C$17,M53=monitoramento!$D$17),monitoramento!$E$17,IF(AND(L53=monitoramento!$C$18,M53=monitoramento!$D$18),monitoramento!$E$18,IF(AND(L53=monitoramento!$C$19,M53=monitoramento!$D$19),monitoramento!$E$19))))))))))))))))</f>
        <v>0</v>
      </c>
      <c r="O53" s="55"/>
      <c r="P53" s="55"/>
    </row>
    <row r="54" spans="8:16" ht="25.9" customHeight="1" thickBot="1" x14ac:dyDescent="0.25">
      <c r="H54" s="29">
        <f>AEP!BF59</f>
        <v>0</v>
      </c>
      <c r="I54" s="30">
        <f>AEP!BI59</f>
        <v>0</v>
      </c>
      <c r="J54" s="31">
        <f>AEP!BM59</f>
        <v>0</v>
      </c>
      <c r="K54" s="32" t="str">
        <f>IF(AND(I54=INCERTEZA!$B$3,J54=INCERTEZA!$C$3),INCERTEZA!$D$3,IF(AND(I54=INCERTEZA!$B$4,J54=INCERTEZA!$C$4),INCERTEZA!$D$4,IF(AND(I54=INCERTEZA!$B$5,J54=INCERTEZA!$C$5),INCERTEZA!$D$5,IF(AND(I54=INCERTEZA!$B$6,J54=INCERTEZA!$C$6),INCERTEZA!$D$6,IF(AND(I54=INCERTEZA!$B$7,J54=INCERTEZA!$C$7),INCERTEZA!$D$7,IF(AND(I54=INCERTEZA!$B$8,J54=INCERTEZA!$C$8),INCERTEZA!$D$8,IF(AND(I54=INCERTEZA!$B$9,J54=INCERTEZA!$C$9),INCERTEZA!$D$9,IF(AND(I54=INCERTEZA!$B$10,J54=INCERTEZA!$C$10),INCERTEZA!$D$10,IF(AND(I54=INCERTEZA!$B$11,J54=INCERTEZA!$C$11),INCERTEZA!$D$11,IF(AND(I54=INCERTEZA!$B$12,J54=INCERTEZA!$C$12),INCERTEZA!$D$12,IF(AND(I54=INCERTEZA!$B$13,J54=INCERTEZA!$C$13),INCERTEZA!$D$13,IF(AND(I54=INCERTEZA!$B$14,J54=INCERTEZA!$C$14),INCERTEZA!$D$14,IF(AND(I54=INCERTEZA!$B$15,J54=INCERTEZA!$C$15),INCERTEZA!$D$15,IF(AND(I54=INCERTEZA!$B$16,J54=INCERTEZA!$C$16),INCERTEZA!$D$16,IF(AND(I54=INCERTEZA!$B$17,J54=INCERTEZA!$C$17),INCERTEZA!$D$17,"-")))))))))))))))</f>
        <v>-</v>
      </c>
      <c r="L54" s="33">
        <f>AEP!CX59</f>
        <v>0</v>
      </c>
      <c r="M54" s="34">
        <f>AEP!CO59</f>
        <v>0</v>
      </c>
      <c r="N54" s="55" t="b">
        <f>IF(AND(L54=monitoramento!$C$4,M54=monitoramento!$D$4),monitoramento!$E$4,IF(AND(L54=monitoramento!$C$5,M54=monitoramento!$D$5),monitoramento!$E$5,IF(AND(L54=monitoramento!$C$6,M54=monitoramento!$D$6),monitoramento!$E$6,IF(AND(L54=monitoramento!$C$7,M54=monitoramento!$D$7),monitoramento!$E$7,IF(AND(L54=monitoramento!$C$8,M54=monitoramento!$D$8),monitoramento!$E$8,IF(AND(L54=monitoramento!$C$9,M54=monitoramento!$D$9),monitoramento!$E$9,IF(AND(L54=monitoramento!$C$10,M54=monitoramento!$D$10),monitoramento!$E$10,IF(AND(L54=monitoramento!$C$11,M54=monitoramento!$D$11),monitoramento!$E$11,IF(AND(L54=monitoramento!$C$12,M54=monitoramento!$D$12),monitoramento!$E$12,IF(AND(L54=monitoramento!$C$13,M54=monitoramento!$D$13),monitoramento!$E$13,IF(AND(L54=monitoramento!$C$14,M54=monitoramento!$D$14),monitoramento!$E$14,IF(AND(L54=monitoramento!$C$15,M54=monitoramento!$D$15),monitoramento!$E$15,IF(AND(L54=monitoramento!$C$16,M54=monitoramento!$D$16),monitoramento!$E$16,IF(AND(L54=monitoramento!$C$17,M54=monitoramento!$D$17),monitoramento!$E$17,IF(AND(L54=monitoramento!$C$18,M54=monitoramento!$D$18),monitoramento!$E$18,IF(AND(L54=monitoramento!$C$19,M54=monitoramento!$D$19),monitoramento!$E$19))))))))))))))))</f>
        <v>0</v>
      </c>
      <c r="O54" s="55"/>
      <c r="P54" s="55"/>
    </row>
    <row r="55" spans="8:16" ht="25.9" customHeight="1" thickBot="1" x14ac:dyDescent="0.25">
      <c r="H55" s="29">
        <f>AEP!BF60</f>
        <v>0</v>
      </c>
      <c r="I55" s="30">
        <f>AEP!BI60</f>
        <v>0</v>
      </c>
      <c r="J55" s="31">
        <f>AEP!BM60</f>
        <v>0</v>
      </c>
      <c r="K55" s="32" t="str">
        <f>IF(AND(I55=INCERTEZA!$B$3,J55=INCERTEZA!$C$3),INCERTEZA!$D$3,IF(AND(I55=INCERTEZA!$B$4,J55=INCERTEZA!$C$4),INCERTEZA!$D$4,IF(AND(I55=INCERTEZA!$B$5,J55=INCERTEZA!$C$5),INCERTEZA!$D$5,IF(AND(I55=INCERTEZA!$B$6,J55=INCERTEZA!$C$6),INCERTEZA!$D$6,IF(AND(I55=INCERTEZA!$B$7,J55=INCERTEZA!$C$7),INCERTEZA!$D$7,IF(AND(I55=INCERTEZA!$B$8,J55=INCERTEZA!$C$8),INCERTEZA!$D$8,IF(AND(I55=INCERTEZA!$B$9,J55=INCERTEZA!$C$9),INCERTEZA!$D$9,IF(AND(I55=INCERTEZA!$B$10,J55=INCERTEZA!$C$10),INCERTEZA!$D$10,IF(AND(I55=INCERTEZA!$B$11,J55=INCERTEZA!$C$11),INCERTEZA!$D$11,IF(AND(I55=INCERTEZA!$B$12,J55=INCERTEZA!$C$12),INCERTEZA!$D$12,IF(AND(I55=INCERTEZA!$B$13,J55=INCERTEZA!$C$13),INCERTEZA!$D$13,IF(AND(I55=INCERTEZA!$B$14,J55=INCERTEZA!$C$14),INCERTEZA!$D$14,IF(AND(I55=INCERTEZA!$B$15,J55=INCERTEZA!$C$15),INCERTEZA!$D$15,IF(AND(I55=INCERTEZA!$B$16,J55=INCERTEZA!$C$16),INCERTEZA!$D$16,IF(AND(I55=INCERTEZA!$B$17,J55=INCERTEZA!$C$17),INCERTEZA!$D$17,"-")))))))))))))))</f>
        <v>-</v>
      </c>
      <c r="L55" s="33">
        <f>AEP!CX60</f>
        <v>0</v>
      </c>
      <c r="M55" s="34">
        <f>AEP!CO60</f>
        <v>0</v>
      </c>
      <c r="N55" s="55" t="b">
        <f>IF(AND(L55=monitoramento!$C$4,M55=monitoramento!$D$4),monitoramento!$E$4,IF(AND(L55=monitoramento!$C$5,M55=monitoramento!$D$5),monitoramento!$E$5,IF(AND(L55=monitoramento!$C$6,M55=monitoramento!$D$6),monitoramento!$E$6,IF(AND(L55=monitoramento!$C$7,M55=monitoramento!$D$7),monitoramento!$E$7,IF(AND(L55=monitoramento!$C$8,M55=monitoramento!$D$8),monitoramento!$E$8,IF(AND(L55=monitoramento!$C$9,M55=monitoramento!$D$9),monitoramento!$E$9,IF(AND(L55=monitoramento!$C$10,M55=monitoramento!$D$10),monitoramento!$E$10,IF(AND(L55=monitoramento!$C$11,M55=monitoramento!$D$11),monitoramento!$E$11,IF(AND(L55=monitoramento!$C$12,M55=monitoramento!$D$12),monitoramento!$E$12,IF(AND(L55=monitoramento!$C$13,M55=monitoramento!$D$13),monitoramento!$E$13,IF(AND(L55=monitoramento!$C$14,M55=monitoramento!$D$14),monitoramento!$E$14,IF(AND(L55=monitoramento!$C$15,M55=monitoramento!$D$15),monitoramento!$E$15,IF(AND(L55=monitoramento!$C$16,M55=monitoramento!$D$16),monitoramento!$E$16,IF(AND(L55=monitoramento!$C$17,M55=monitoramento!$D$17),monitoramento!$E$17,IF(AND(L55=monitoramento!$C$18,M55=monitoramento!$D$18),monitoramento!$E$18,IF(AND(L55=monitoramento!$C$19,M55=monitoramento!$D$19),monitoramento!$E$19))))))))))))))))</f>
        <v>0</v>
      </c>
      <c r="O55" s="55"/>
      <c r="P55" s="55"/>
    </row>
    <row r="56" spans="8:16" ht="25.9" customHeight="1" thickBot="1" x14ac:dyDescent="0.25">
      <c r="H56" s="29">
        <f>AEP!BF61</f>
        <v>0</v>
      </c>
      <c r="I56" s="30">
        <f>AEP!BI61</f>
        <v>0</v>
      </c>
      <c r="J56" s="31">
        <f>AEP!BM61</f>
        <v>0</v>
      </c>
      <c r="K56" s="32" t="str">
        <f>IF(AND(I56=INCERTEZA!$B$3,J56=INCERTEZA!$C$3),INCERTEZA!$D$3,IF(AND(I56=INCERTEZA!$B$4,J56=INCERTEZA!$C$4),INCERTEZA!$D$4,IF(AND(I56=INCERTEZA!$B$5,J56=INCERTEZA!$C$5),INCERTEZA!$D$5,IF(AND(I56=INCERTEZA!$B$6,J56=INCERTEZA!$C$6),INCERTEZA!$D$6,IF(AND(I56=INCERTEZA!$B$7,J56=INCERTEZA!$C$7),INCERTEZA!$D$7,IF(AND(I56=INCERTEZA!$B$8,J56=INCERTEZA!$C$8),INCERTEZA!$D$8,IF(AND(I56=INCERTEZA!$B$9,J56=INCERTEZA!$C$9),INCERTEZA!$D$9,IF(AND(I56=INCERTEZA!$B$10,J56=INCERTEZA!$C$10),INCERTEZA!$D$10,IF(AND(I56=INCERTEZA!$B$11,J56=INCERTEZA!$C$11),INCERTEZA!$D$11,IF(AND(I56=INCERTEZA!$B$12,J56=INCERTEZA!$C$12),INCERTEZA!$D$12,IF(AND(I56=INCERTEZA!$B$13,J56=INCERTEZA!$C$13),INCERTEZA!$D$13,IF(AND(I56=INCERTEZA!$B$14,J56=INCERTEZA!$C$14),INCERTEZA!$D$14,IF(AND(I56=INCERTEZA!$B$15,J56=INCERTEZA!$C$15),INCERTEZA!$D$15,IF(AND(I56=INCERTEZA!$B$16,J56=INCERTEZA!$C$16),INCERTEZA!$D$16,IF(AND(I56=INCERTEZA!$B$17,J56=INCERTEZA!$C$17),INCERTEZA!$D$17,"-")))))))))))))))</f>
        <v>-</v>
      </c>
      <c r="L56" s="33">
        <f>AEP!CX61</f>
        <v>0</v>
      </c>
      <c r="M56" s="34">
        <f>AEP!CO61</f>
        <v>0</v>
      </c>
      <c r="N56" s="55" t="b">
        <f>IF(AND(L56=monitoramento!$C$4,M56=monitoramento!$D$4),monitoramento!$E$4,IF(AND(L56=monitoramento!$C$5,M56=monitoramento!$D$5),monitoramento!$E$5,IF(AND(L56=monitoramento!$C$6,M56=monitoramento!$D$6),monitoramento!$E$6,IF(AND(L56=monitoramento!$C$7,M56=monitoramento!$D$7),monitoramento!$E$7,IF(AND(L56=monitoramento!$C$8,M56=monitoramento!$D$8),monitoramento!$E$8,IF(AND(L56=monitoramento!$C$9,M56=monitoramento!$D$9),monitoramento!$E$9,IF(AND(L56=monitoramento!$C$10,M56=monitoramento!$D$10),monitoramento!$E$10,IF(AND(L56=monitoramento!$C$11,M56=monitoramento!$D$11),monitoramento!$E$11,IF(AND(L56=monitoramento!$C$12,M56=monitoramento!$D$12),monitoramento!$E$12,IF(AND(L56=monitoramento!$C$13,M56=monitoramento!$D$13),monitoramento!$E$13,IF(AND(L56=monitoramento!$C$14,M56=monitoramento!$D$14),monitoramento!$E$14,IF(AND(L56=monitoramento!$C$15,M56=monitoramento!$D$15),monitoramento!$E$15,IF(AND(L56=monitoramento!$C$16,M56=monitoramento!$D$16),monitoramento!$E$16,IF(AND(L56=monitoramento!$C$17,M56=monitoramento!$D$17),monitoramento!$E$17,IF(AND(L56=monitoramento!$C$18,M56=monitoramento!$D$18),monitoramento!$E$18,IF(AND(L56=monitoramento!$C$19,M56=monitoramento!$D$19),monitoramento!$E$19))))))))))))))))</f>
        <v>0</v>
      </c>
      <c r="O56" s="55"/>
      <c r="P56" s="55"/>
    </row>
    <row r="57" spans="8:16" ht="25.9" customHeight="1" thickBot="1" x14ac:dyDescent="0.25">
      <c r="H57" s="29">
        <f>AEP!BF62</f>
        <v>0</v>
      </c>
      <c r="I57" s="30">
        <f>AEP!BI62</f>
        <v>0</v>
      </c>
      <c r="J57" s="31">
        <f>AEP!BM62</f>
        <v>0</v>
      </c>
      <c r="K57" s="32" t="str">
        <f>IF(AND(I57=INCERTEZA!$B$3,J57=INCERTEZA!$C$3),INCERTEZA!$D$3,IF(AND(I57=INCERTEZA!$B$4,J57=INCERTEZA!$C$4),INCERTEZA!$D$4,IF(AND(I57=INCERTEZA!$B$5,J57=INCERTEZA!$C$5),INCERTEZA!$D$5,IF(AND(I57=INCERTEZA!$B$6,J57=INCERTEZA!$C$6),INCERTEZA!$D$6,IF(AND(I57=INCERTEZA!$B$7,J57=INCERTEZA!$C$7),INCERTEZA!$D$7,IF(AND(I57=INCERTEZA!$B$8,J57=INCERTEZA!$C$8),INCERTEZA!$D$8,IF(AND(I57=INCERTEZA!$B$9,J57=INCERTEZA!$C$9),INCERTEZA!$D$9,IF(AND(I57=INCERTEZA!$B$10,J57=INCERTEZA!$C$10),INCERTEZA!$D$10,IF(AND(I57=INCERTEZA!$B$11,J57=INCERTEZA!$C$11),INCERTEZA!$D$11,IF(AND(I57=INCERTEZA!$B$12,J57=INCERTEZA!$C$12),INCERTEZA!$D$12,IF(AND(I57=INCERTEZA!$B$13,J57=INCERTEZA!$C$13),INCERTEZA!$D$13,IF(AND(I57=INCERTEZA!$B$14,J57=INCERTEZA!$C$14),INCERTEZA!$D$14,IF(AND(I57=INCERTEZA!$B$15,J57=INCERTEZA!$C$15),INCERTEZA!$D$15,IF(AND(I57=INCERTEZA!$B$16,J57=INCERTEZA!$C$16),INCERTEZA!$D$16,IF(AND(I57=INCERTEZA!$B$17,J57=INCERTEZA!$C$17),INCERTEZA!$D$17,"-")))))))))))))))</f>
        <v>-</v>
      </c>
      <c r="L57" s="33">
        <f>AEP!CX62</f>
        <v>0</v>
      </c>
      <c r="M57" s="34">
        <f>AEP!CO62</f>
        <v>0</v>
      </c>
      <c r="N57" s="55" t="b">
        <f>IF(AND(L57=monitoramento!$C$4,M57=monitoramento!$D$4),monitoramento!$E$4,IF(AND(L57=monitoramento!$C$5,M57=monitoramento!$D$5),monitoramento!$E$5,IF(AND(L57=monitoramento!$C$6,M57=monitoramento!$D$6),monitoramento!$E$6,IF(AND(L57=monitoramento!$C$7,M57=monitoramento!$D$7),monitoramento!$E$7,IF(AND(L57=monitoramento!$C$8,M57=monitoramento!$D$8),monitoramento!$E$8,IF(AND(L57=monitoramento!$C$9,M57=monitoramento!$D$9),monitoramento!$E$9,IF(AND(L57=monitoramento!$C$10,M57=monitoramento!$D$10),monitoramento!$E$10,IF(AND(L57=monitoramento!$C$11,M57=monitoramento!$D$11),monitoramento!$E$11,IF(AND(L57=monitoramento!$C$12,M57=monitoramento!$D$12),monitoramento!$E$12,IF(AND(L57=monitoramento!$C$13,M57=monitoramento!$D$13),monitoramento!$E$13,IF(AND(L57=monitoramento!$C$14,M57=monitoramento!$D$14),monitoramento!$E$14,IF(AND(L57=monitoramento!$C$15,M57=monitoramento!$D$15),monitoramento!$E$15,IF(AND(L57=monitoramento!$C$16,M57=monitoramento!$D$16),monitoramento!$E$16,IF(AND(L57=monitoramento!$C$17,M57=monitoramento!$D$17),monitoramento!$E$17,IF(AND(L57=monitoramento!$C$18,M57=monitoramento!$D$18),monitoramento!$E$18,IF(AND(L57=monitoramento!$C$19,M57=monitoramento!$D$19),monitoramento!$E$19))))))))))))))))</f>
        <v>0</v>
      </c>
      <c r="O57" s="55"/>
      <c r="P57" s="55"/>
    </row>
    <row r="58" spans="8:16" ht="25.9" customHeight="1" thickBot="1" x14ac:dyDescent="0.25">
      <c r="H58" s="29">
        <f>AEP!BF63</f>
        <v>0</v>
      </c>
      <c r="I58" s="30">
        <f>AEP!BI63</f>
        <v>0</v>
      </c>
      <c r="J58" s="31">
        <f>AEP!BM63</f>
        <v>0</v>
      </c>
      <c r="K58" s="32" t="str">
        <f>IF(AND(I58=INCERTEZA!$B$3,J58=INCERTEZA!$C$3),INCERTEZA!$D$3,IF(AND(I58=INCERTEZA!$B$4,J58=INCERTEZA!$C$4),INCERTEZA!$D$4,IF(AND(I58=INCERTEZA!$B$5,J58=INCERTEZA!$C$5),INCERTEZA!$D$5,IF(AND(I58=INCERTEZA!$B$6,J58=INCERTEZA!$C$6),INCERTEZA!$D$6,IF(AND(I58=INCERTEZA!$B$7,J58=INCERTEZA!$C$7),INCERTEZA!$D$7,IF(AND(I58=INCERTEZA!$B$8,J58=INCERTEZA!$C$8),INCERTEZA!$D$8,IF(AND(I58=INCERTEZA!$B$9,J58=INCERTEZA!$C$9),INCERTEZA!$D$9,IF(AND(I58=INCERTEZA!$B$10,J58=INCERTEZA!$C$10),INCERTEZA!$D$10,IF(AND(I58=INCERTEZA!$B$11,J58=INCERTEZA!$C$11),INCERTEZA!$D$11,IF(AND(I58=INCERTEZA!$B$12,J58=INCERTEZA!$C$12),INCERTEZA!$D$12,IF(AND(I58=INCERTEZA!$B$13,J58=INCERTEZA!$C$13),INCERTEZA!$D$13,IF(AND(I58=INCERTEZA!$B$14,J58=INCERTEZA!$C$14),INCERTEZA!$D$14,IF(AND(I58=INCERTEZA!$B$15,J58=INCERTEZA!$C$15),INCERTEZA!$D$15,IF(AND(I58=INCERTEZA!$B$16,J58=INCERTEZA!$C$16),INCERTEZA!$D$16,IF(AND(I58=INCERTEZA!$B$17,J58=INCERTEZA!$C$17),INCERTEZA!$D$17,"-")))))))))))))))</f>
        <v>-</v>
      </c>
      <c r="L58" s="33">
        <f>AEP!CX63</f>
        <v>0</v>
      </c>
      <c r="M58" s="34">
        <f>AEP!CO63</f>
        <v>0</v>
      </c>
      <c r="N58" s="55" t="b">
        <f>IF(AND(L58=monitoramento!$C$4,M58=monitoramento!$D$4),monitoramento!$E$4,IF(AND(L58=monitoramento!$C$5,M58=monitoramento!$D$5),monitoramento!$E$5,IF(AND(L58=monitoramento!$C$6,M58=monitoramento!$D$6),monitoramento!$E$6,IF(AND(L58=monitoramento!$C$7,M58=monitoramento!$D$7),monitoramento!$E$7,IF(AND(L58=monitoramento!$C$8,M58=monitoramento!$D$8),monitoramento!$E$8,IF(AND(L58=monitoramento!$C$9,M58=monitoramento!$D$9),monitoramento!$E$9,IF(AND(L58=monitoramento!$C$10,M58=monitoramento!$D$10),monitoramento!$E$10,IF(AND(L58=monitoramento!$C$11,M58=monitoramento!$D$11),monitoramento!$E$11,IF(AND(L58=monitoramento!$C$12,M58=monitoramento!$D$12),monitoramento!$E$12,IF(AND(L58=monitoramento!$C$13,M58=monitoramento!$D$13),monitoramento!$E$13,IF(AND(L58=monitoramento!$C$14,M58=monitoramento!$D$14),monitoramento!$E$14,IF(AND(L58=monitoramento!$C$15,M58=monitoramento!$D$15),monitoramento!$E$15,IF(AND(L58=monitoramento!$C$16,M58=monitoramento!$D$16),monitoramento!$E$16,IF(AND(L58=monitoramento!$C$17,M58=monitoramento!$D$17),monitoramento!$E$17,IF(AND(L58=monitoramento!$C$18,M58=monitoramento!$D$18),monitoramento!$E$18,IF(AND(L58=monitoramento!$C$19,M58=monitoramento!$D$19),monitoramento!$E$19))))))))))))))))</f>
        <v>0</v>
      </c>
      <c r="O58" s="55"/>
      <c r="P58" s="55"/>
    </row>
    <row r="59" spans="8:16" ht="25.9" customHeight="1" thickBot="1" x14ac:dyDescent="0.25">
      <c r="H59" s="29">
        <f>AEP!BF64</f>
        <v>0</v>
      </c>
      <c r="I59" s="30">
        <f>AEP!BI64</f>
        <v>0</v>
      </c>
      <c r="J59" s="31">
        <f>AEP!BM64</f>
        <v>0</v>
      </c>
      <c r="K59" s="32" t="str">
        <f>IF(AND(I59=INCERTEZA!$B$3,J59=INCERTEZA!$C$3),INCERTEZA!$D$3,IF(AND(I59=INCERTEZA!$B$4,J59=INCERTEZA!$C$4),INCERTEZA!$D$4,IF(AND(I59=INCERTEZA!$B$5,J59=INCERTEZA!$C$5),INCERTEZA!$D$5,IF(AND(I59=INCERTEZA!$B$6,J59=INCERTEZA!$C$6),INCERTEZA!$D$6,IF(AND(I59=INCERTEZA!$B$7,J59=INCERTEZA!$C$7),INCERTEZA!$D$7,IF(AND(I59=INCERTEZA!$B$8,J59=INCERTEZA!$C$8),INCERTEZA!$D$8,IF(AND(I59=INCERTEZA!$B$9,J59=INCERTEZA!$C$9),INCERTEZA!$D$9,IF(AND(I59=INCERTEZA!$B$10,J59=INCERTEZA!$C$10),INCERTEZA!$D$10,IF(AND(I59=INCERTEZA!$B$11,J59=INCERTEZA!$C$11),INCERTEZA!$D$11,IF(AND(I59=INCERTEZA!$B$12,J59=INCERTEZA!$C$12),INCERTEZA!$D$12,IF(AND(I59=INCERTEZA!$B$13,J59=INCERTEZA!$C$13),INCERTEZA!$D$13,IF(AND(I59=INCERTEZA!$B$14,J59=INCERTEZA!$C$14),INCERTEZA!$D$14,IF(AND(I59=INCERTEZA!$B$15,J59=INCERTEZA!$C$15),INCERTEZA!$D$15,IF(AND(I59=INCERTEZA!$B$16,J59=INCERTEZA!$C$16),INCERTEZA!$D$16,IF(AND(I59=INCERTEZA!$B$17,J59=INCERTEZA!$C$17),INCERTEZA!$D$17,"-")))))))))))))))</f>
        <v>-</v>
      </c>
      <c r="L59" s="33">
        <f>AEP!CX64</f>
        <v>0</v>
      </c>
      <c r="M59" s="34">
        <f>AEP!CO64</f>
        <v>0</v>
      </c>
      <c r="N59" s="55" t="b">
        <f>IF(AND(L59=monitoramento!$C$4,M59=monitoramento!$D$4),monitoramento!$E$4,IF(AND(L59=monitoramento!$C$5,M59=monitoramento!$D$5),monitoramento!$E$5,IF(AND(L59=monitoramento!$C$6,M59=monitoramento!$D$6),monitoramento!$E$6,IF(AND(L59=monitoramento!$C$7,M59=monitoramento!$D$7),monitoramento!$E$7,IF(AND(L59=monitoramento!$C$8,M59=monitoramento!$D$8),monitoramento!$E$8,IF(AND(L59=monitoramento!$C$9,M59=monitoramento!$D$9),monitoramento!$E$9,IF(AND(L59=monitoramento!$C$10,M59=monitoramento!$D$10),monitoramento!$E$10,IF(AND(L59=monitoramento!$C$11,M59=monitoramento!$D$11),monitoramento!$E$11,IF(AND(L59=monitoramento!$C$12,M59=monitoramento!$D$12),monitoramento!$E$12,IF(AND(L59=monitoramento!$C$13,M59=monitoramento!$D$13),monitoramento!$E$13,IF(AND(L59=monitoramento!$C$14,M59=monitoramento!$D$14),monitoramento!$E$14,IF(AND(L59=monitoramento!$C$15,M59=monitoramento!$D$15),monitoramento!$E$15,IF(AND(L59=monitoramento!$C$16,M59=monitoramento!$D$16),monitoramento!$E$16,IF(AND(L59=monitoramento!$C$17,M59=monitoramento!$D$17),monitoramento!$E$17,IF(AND(L59=monitoramento!$C$18,M59=monitoramento!$D$18),monitoramento!$E$18,IF(AND(L59=monitoramento!$C$19,M59=monitoramento!$D$19),monitoramento!$E$19))))))))))))))))</f>
        <v>0</v>
      </c>
      <c r="O59" s="55"/>
      <c r="P59" s="55"/>
    </row>
    <row r="60" spans="8:16" ht="25.9" customHeight="1" thickBot="1" x14ac:dyDescent="0.25">
      <c r="H60" s="29">
        <f>AEP!BF65</f>
        <v>0</v>
      </c>
      <c r="I60" s="30">
        <f>AEP!BI65</f>
        <v>0</v>
      </c>
      <c r="J60" s="31">
        <f>AEP!BM65</f>
        <v>0</v>
      </c>
      <c r="K60" s="32" t="str">
        <f>IF(AND(I60=INCERTEZA!$B$3,J60=INCERTEZA!$C$3),INCERTEZA!$D$3,IF(AND(I60=INCERTEZA!$B$4,J60=INCERTEZA!$C$4),INCERTEZA!$D$4,IF(AND(I60=INCERTEZA!$B$5,J60=INCERTEZA!$C$5),INCERTEZA!$D$5,IF(AND(I60=INCERTEZA!$B$6,J60=INCERTEZA!$C$6),INCERTEZA!$D$6,IF(AND(I60=INCERTEZA!$B$7,J60=INCERTEZA!$C$7),INCERTEZA!$D$7,IF(AND(I60=INCERTEZA!$B$8,J60=INCERTEZA!$C$8),INCERTEZA!$D$8,IF(AND(I60=INCERTEZA!$B$9,J60=INCERTEZA!$C$9),INCERTEZA!$D$9,IF(AND(I60=INCERTEZA!$B$10,J60=INCERTEZA!$C$10),INCERTEZA!$D$10,IF(AND(I60=INCERTEZA!$B$11,J60=INCERTEZA!$C$11),INCERTEZA!$D$11,IF(AND(I60=INCERTEZA!$B$12,J60=INCERTEZA!$C$12),INCERTEZA!$D$12,IF(AND(I60=INCERTEZA!$B$13,J60=INCERTEZA!$C$13),INCERTEZA!$D$13,IF(AND(I60=INCERTEZA!$B$14,J60=INCERTEZA!$C$14),INCERTEZA!$D$14,IF(AND(I60=INCERTEZA!$B$15,J60=INCERTEZA!$C$15),INCERTEZA!$D$15,IF(AND(I60=INCERTEZA!$B$16,J60=INCERTEZA!$C$16),INCERTEZA!$D$16,IF(AND(I60=INCERTEZA!$B$17,J60=INCERTEZA!$C$17),INCERTEZA!$D$17,"-")))))))))))))))</f>
        <v>-</v>
      </c>
      <c r="L60" s="33">
        <f>AEP!CX65</f>
        <v>0</v>
      </c>
      <c r="M60" s="34">
        <f>AEP!CO65</f>
        <v>0</v>
      </c>
      <c r="N60" s="55" t="b">
        <f>IF(AND(L60=monitoramento!$C$4,M60=monitoramento!$D$4),monitoramento!$E$4,IF(AND(L60=monitoramento!$C$5,M60=monitoramento!$D$5),monitoramento!$E$5,IF(AND(L60=monitoramento!$C$6,M60=monitoramento!$D$6),monitoramento!$E$6,IF(AND(L60=monitoramento!$C$7,M60=monitoramento!$D$7),monitoramento!$E$7,IF(AND(L60=monitoramento!$C$8,M60=monitoramento!$D$8),monitoramento!$E$8,IF(AND(L60=monitoramento!$C$9,M60=monitoramento!$D$9),monitoramento!$E$9,IF(AND(L60=monitoramento!$C$10,M60=monitoramento!$D$10),monitoramento!$E$10,IF(AND(L60=monitoramento!$C$11,M60=monitoramento!$D$11),monitoramento!$E$11,IF(AND(L60=monitoramento!$C$12,M60=monitoramento!$D$12),monitoramento!$E$12,IF(AND(L60=monitoramento!$C$13,M60=monitoramento!$D$13),monitoramento!$E$13,IF(AND(L60=monitoramento!$C$14,M60=monitoramento!$D$14),monitoramento!$E$14,IF(AND(L60=monitoramento!$C$15,M60=monitoramento!$D$15),monitoramento!$E$15,IF(AND(L60=monitoramento!$C$16,M60=monitoramento!$D$16),monitoramento!$E$16,IF(AND(L60=monitoramento!$C$17,M60=monitoramento!$D$17),monitoramento!$E$17,IF(AND(L60=monitoramento!$C$18,M60=monitoramento!$D$18),monitoramento!$E$18,IF(AND(L60=monitoramento!$C$19,M60=monitoramento!$D$19),monitoramento!$E$19))))))))))))))))</f>
        <v>0</v>
      </c>
      <c r="O60" s="55"/>
      <c r="P60" s="55"/>
    </row>
    <row r="61" spans="8:16" ht="25.9" customHeight="1" thickBot="1" x14ac:dyDescent="0.25">
      <c r="H61" s="29">
        <f>AEP!BF66</f>
        <v>0</v>
      </c>
      <c r="I61" s="30">
        <f>AEP!BI66</f>
        <v>0</v>
      </c>
      <c r="J61" s="31">
        <f>AEP!BM66</f>
        <v>0</v>
      </c>
      <c r="K61" s="32" t="str">
        <f>IF(AND(I61=INCERTEZA!$B$3,J61=INCERTEZA!$C$3),INCERTEZA!$D$3,IF(AND(I61=INCERTEZA!$B$4,J61=INCERTEZA!$C$4),INCERTEZA!$D$4,IF(AND(I61=INCERTEZA!$B$5,J61=INCERTEZA!$C$5),INCERTEZA!$D$5,IF(AND(I61=INCERTEZA!$B$6,J61=INCERTEZA!$C$6),INCERTEZA!$D$6,IF(AND(I61=INCERTEZA!$B$7,J61=INCERTEZA!$C$7),INCERTEZA!$D$7,IF(AND(I61=INCERTEZA!$B$8,J61=INCERTEZA!$C$8),INCERTEZA!$D$8,IF(AND(I61=INCERTEZA!$B$9,J61=INCERTEZA!$C$9),INCERTEZA!$D$9,IF(AND(I61=INCERTEZA!$B$10,J61=INCERTEZA!$C$10),INCERTEZA!$D$10,IF(AND(I61=INCERTEZA!$B$11,J61=INCERTEZA!$C$11),INCERTEZA!$D$11,IF(AND(I61=INCERTEZA!$B$12,J61=INCERTEZA!$C$12),INCERTEZA!$D$12,IF(AND(I61=INCERTEZA!$B$13,J61=INCERTEZA!$C$13),INCERTEZA!$D$13,IF(AND(I61=INCERTEZA!$B$14,J61=INCERTEZA!$C$14),INCERTEZA!$D$14,IF(AND(I61=INCERTEZA!$B$15,J61=INCERTEZA!$C$15),INCERTEZA!$D$15,IF(AND(I61=INCERTEZA!$B$16,J61=INCERTEZA!$C$16),INCERTEZA!$D$16,IF(AND(I61=INCERTEZA!$B$17,J61=INCERTEZA!$C$17),INCERTEZA!$D$17,"-")))))))))))))))</f>
        <v>-</v>
      </c>
      <c r="L61" s="33">
        <f>AEP!CX66</f>
        <v>0</v>
      </c>
      <c r="M61" s="34">
        <f>AEP!CO66</f>
        <v>0</v>
      </c>
      <c r="N61" s="55" t="b">
        <f>IF(AND(L61=monitoramento!$C$4,M61=monitoramento!$D$4),monitoramento!$E$4,IF(AND(L61=monitoramento!$C$5,M61=monitoramento!$D$5),monitoramento!$E$5,IF(AND(L61=monitoramento!$C$6,M61=monitoramento!$D$6),monitoramento!$E$6,IF(AND(L61=monitoramento!$C$7,M61=monitoramento!$D$7),monitoramento!$E$7,IF(AND(L61=monitoramento!$C$8,M61=monitoramento!$D$8),monitoramento!$E$8,IF(AND(L61=monitoramento!$C$9,M61=monitoramento!$D$9),monitoramento!$E$9,IF(AND(L61=monitoramento!$C$10,M61=monitoramento!$D$10),monitoramento!$E$10,IF(AND(L61=monitoramento!$C$11,M61=monitoramento!$D$11),monitoramento!$E$11,IF(AND(L61=monitoramento!$C$12,M61=monitoramento!$D$12),monitoramento!$E$12,IF(AND(L61=monitoramento!$C$13,M61=monitoramento!$D$13),monitoramento!$E$13,IF(AND(L61=monitoramento!$C$14,M61=monitoramento!$D$14),monitoramento!$E$14,IF(AND(L61=monitoramento!$C$15,M61=monitoramento!$D$15),monitoramento!$E$15,IF(AND(L61=monitoramento!$C$16,M61=monitoramento!$D$16),monitoramento!$E$16,IF(AND(L61=monitoramento!$C$17,M61=monitoramento!$D$17),monitoramento!$E$17,IF(AND(L61=monitoramento!$C$18,M61=monitoramento!$D$18),monitoramento!$E$18,IF(AND(L61=monitoramento!$C$19,M61=monitoramento!$D$19),monitoramento!$E$19))))))))))))))))</f>
        <v>0</v>
      </c>
      <c r="O61" s="55"/>
      <c r="P61" s="55"/>
    </row>
    <row r="62" spans="8:16" ht="25.9" customHeight="1" thickBot="1" x14ac:dyDescent="0.25">
      <c r="H62" s="29">
        <f>AEP!BF67</f>
        <v>0</v>
      </c>
      <c r="I62" s="30">
        <f>AEP!BI67</f>
        <v>0</v>
      </c>
      <c r="J62" s="31">
        <f>AEP!BM67</f>
        <v>0</v>
      </c>
      <c r="K62" s="32" t="str">
        <f>IF(AND(I62=INCERTEZA!$B$3,J62=INCERTEZA!$C$3),INCERTEZA!$D$3,IF(AND(I62=INCERTEZA!$B$4,J62=INCERTEZA!$C$4),INCERTEZA!$D$4,IF(AND(I62=INCERTEZA!$B$5,J62=INCERTEZA!$C$5),INCERTEZA!$D$5,IF(AND(I62=INCERTEZA!$B$6,J62=INCERTEZA!$C$6),INCERTEZA!$D$6,IF(AND(I62=INCERTEZA!$B$7,J62=INCERTEZA!$C$7),INCERTEZA!$D$7,IF(AND(I62=INCERTEZA!$B$8,J62=INCERTEZA!$C$8),INCERTEZA!$D$8,IF(AND(I62=INCERTEZA!$B$9,J62=INCERTEZA!$C$9),INCERTEZA!$D$9,IF(AND(I62=INCERTEZA!$B$10,J62=INCERTEZA!$C$10),INCERTEZA!$D$10,IF(AND(I62=INCERTEZA!$B$11,J62=INCERTEZA!$C$11),INCERTEZA!$D$11,IF(AND(I62=INCERTEZA!$B$12,J62=INCERTEZA!$C$12),INCERTEZA!$D$12,IF(AND(I62=INCERTEZA!$B$13,J62=INCERTEZA!$C$13),INCERTEZA!$D$13,IF(AND(I62=INCERTEZA!$B$14,J62=INCERTEZA!$C$14),INCERTEZA!$D$14,IF(AND(I62=INCERTEZA!$B$15,J62=INCERTEZA!$C$15),INCERTEZA!$D$15,IF(AND(I62=INCERTEZA!$B$16,J62=INCERTEZA!$C$16),INCERTEZA!$D$16,IF(AND(I62=INCERTEZA!$B$17,J62=INCERTEZA!$C$17),INCERTEZA!$D$17,"-")))))))))))))))</f>
        <v>-</v>
      </c>
      <c r="L62" s="33">
        <f>AEP!CX67</f>
        <v>0</v>
      </c>
      <c r="M62" s="34">
        <f>AEP!CO67</f>
        <v>0</v>
      </c>
      <c r="N62" s="55" t="b">
        <f>IF(AND(L62=monitoramento!$C$4,M62=monitoramento!$D$4),monitoramento!$E$4,IF(AND(L62=monitoramento!$C$5,M62=monitoramento!$D$5),monitoramento!$E$5,IF(AND(L62=monitoramento!$C$6,M62=monitoramento!$D$6),monitoramento!$E$6,IF(AND(L62=monitoramento!$C$7,M62=monitoramento!$D$7),monitoramento!$E$7,IF(AND(L62=monitoramento!$C$8,M62=monitoramento!$D$8),monitoramento!$E$8,IF(AND(L62=monitoramento!$C$9,M62=monitoramento!$D$9),monitoramento!$E$9,IF(AND(L62=monitoramento!$C$10,M62=monitoramento!$D$10),monitoramento!$E$10,IF(AND(L62=monitoramento!$C$11,M62=monitoramento!$D$11),monitoramento!$E$11,IF(AND(L62=monitoramento!$C$12,M62=monitoramento!$D$12),monitoramento!$E$12,IF(AND(L62=monitoramento!$C$13,M62=monitoramento!$D$13),monitoramento!$E$13,IF(AND(L62=monitoramento!$C$14,M62=monitoramento!$D$14),monitoramento!$E$14,IF(AND(L62=monitoramento!$C$15,M62=monitoramento!$D$15),monitoramento!$E$15,IF(AND(L62=monitoramento!$C$16,M62=monitoramento!$D$16),monitoramento!$E$16,IF(AND(L62=monitoramento!$C$17,M62=monitoramento!$D$17),monitoramento!$E$17,IF(AND(L62=monitoramento!$C$18,M62=monitoramento!$D$18),monitoramento!$E$18,IF(AND(L62=monitoramento!$C$19,M62=monitoramento!$D$19),monitoramento!$E$19))))))))))))))))</f>
        <v>0</v>
      </c>
      <c r="O62" s="55"/>
      <c r="P62" s="55"/>
    </row>
    <row r="63" spans="8:16" ht="25.9" customHeight="1" thickBot="1" x14ac:dyDescent="0.25">
      <c r="H63" s="29">
        <f>AEP!BF68</f>
        <v>0</v>
      </c>
      <c r="I63" s="30">
        <f>AEP!BI68</f>
        <v>0</v>
      </c>
      <c r="J63" s="31">
        <f>AEP!BM68</f>
        <v>0</v>
      </c>
      <c r="K63" s="32" t="str">
        <f>IF(AND(I63=INCERTEZA!$B$3,J63=INCERTEZA!$C$3),INCERTEZA!$D$3,IF(AND(I63=INCERTEZA!$B$4,J63=INCERTEZA!$C$4),INCERTEZA!$D$4,IF(AND(I63=INCERTEZA!$B$5,J63=INCERTEZA!$C$5),INCERTEZA!$D$5,IF(AND(I63=INCERTEZA!$B$6,J63=INCERTEZA!$C$6),INCERTEZA!$D$6,IF(AND(I63=INCERTEZA!$B$7,J63=INCERTEZA!$C$7),INCERTEZA!$D$7,IF(AND(I63=INCERTEZA!$B$8,J63=INCERTEZA!$C$8),INCERTEZA!$D$8,IF(AND(I63=INCERTEZA!$B$9,J63=INCERTEZA!$C$9),INCERTEZA!$D$9,IF(AND(I63=INCERTEZA!$B$10,J63=INCERTEZA!$C$10),INCERTEZA!$D$10,IF(AND(I63=INCERTEZA!$B$11,J63=INCERTEZA!$C$11),INCERTEZA!$D$11,IF(AND(I63=INCERTEZA!$B$12,J63=INCERTEZA!$C$12),INCERTEZA!$D$12,IF(AND(I63=INCERTEZA!$B$13,J63=INCERTEZA!$C$13),INCERTEZA!$D$13,IF(AND(I63=INCERTEZA!$B$14,J63=INCERTEZA!$C$14),INCERTEZA!$D$14,IF(AND(I63=INCERTEZA!$B$15,J63=INCERTEZA!$C$15),INCERTEZA!$D$15,IF(AND(I63=INCERTEZA!$B$16,J63=INCERTEZA!$C$16),INCERTEZA!$D$16,IF(AND(I63=INCERTEZA!$B$17,J63=INCERTEZA!$C$17),INCERTEZA!$D$17,"-")))))))))))))))</f>
        <v>-</v>
      </c>
      <c r="L63" s="33">
        <f>AEP!CX68</f>
        <v>0</v>
      </c>
      <c r="M63" s="34">
        <f>AEP!CO68</f>
        <v>0</v>
      </c>
      <c r="N63" s="55" t="b">
        <f>IF(AND(L63=monitoramento!$C$4,M63=monitoramento!$D$4),monitoramento!$E$4,IF(AND(L63=monitoramento!$C$5,M63=monitoramento!$D$5),monitoramento!$E$5,IF(AND(L63=monitoramento!$C$6,M63=monitoramento!$D$6),monitoramento!$E$6,IF(AND(L63=monitoramento!$C$7,M63=monitoramento!$D$7),monitoramento!$E$7,IF(AND(L63=monitoramento!$C$8,M63=monitoramento!$D$8),monitoramento!$E$8,IF(AND(L63=monitoramento!$C$9,M63=monitoramento!$D$9),monitoramento!$E$9,IF(AND(L63=monitoramento!$C$10,M63=monitoramento!$D$10),monitoramento!$E$10,IF(AND(L63=monitoramento!$C$11,M63=monitoramento!$D$11),monitoramento!$E$11,IF(AND(L63=monitoramento!$C$12,M63=monitoramento!$D$12),monitoramento!$E$12,IF(AND(L63=monitoramento!$C$13,M63=monitoramento!$D$13),monitoramento!$E$13,IF(AND(L63=monitoramento!$C$14,M63=monitoramento!$D$14),monitoramento!$E$14,IF(AND(L63=monitoramento!$C$15,M63=monitoramento!$D$15),monitoramento!$E$15,IF(AND(L63=monitoramento!$C$16,M63=monitoramento!$D$16),monitoramento!$E$16,IF(AND(L63=monitoramento!$C$17,M63=monitoramento!$D$17),monitoramento!$E$17,IF(AND(L63=monitoramento!$C$18,M63=monitoramento!$D$18),monitoramento!$E$18,IF(AND(L63=monitoramento!$C$19,M63=monitoramento!$D$19),monitoramento!$E$19))))))))))))))))</f>
        <v>0</v>
      </c>
      <c r="O63" s="55"/>
      <c r="P63" s="55"/>
    </row>
    <row r="64" spans="8:16" ht="25.9" customHeight="1" thickBot="1" x14ac:dyDescent="0.25">
      <c r="H64" s="29">
        <f>AEP!BF69</f>
        <v>0</v>
      </c>
      <c r="I64" s="30">
        <f>AEP!BI69</f>
        <v>0</v>
      </c>
      <c r="J64" s="31">
        <f>AEP!BM69</f>
        <v>0</v>
      </c>
      <c r="K64" s="32" t="str">
        <f>IF(AND(I64=INCERTEZA!$B$3,J64=INCERTEZA!$C$3),INCERTEZA!$D$3,IF(AND(I64=INCERTEZA!$B$4,J64=INCERTEZA!$C$4),INCERTEZA!$D$4,IF(AND(I64=INCERTEZA!$B$5,J64=INCERTEZA!$C$5),INCERTEZA!$D$5,IF(AND(I64=INCERTEZA!$B$6,J64=INCERTEZA!$C$6),INCERTEZA!$D$6,IF(AND(I64=INCERTEZA!$B$7,J64=INCERTEZA!$C$7),INCERTEZA!$D$7,IF(AND(I64=INCERTEZA!$B$8,J64=INCERTEZA!$C$8),INCERTEZA!$D$8,IF(AND(I64=INCERTEZA!$B$9,J64=INCERTEZA!$C$9),INCERTEZA!$D$9,IF(AND(I64=INCERTEZA!$B$10,J64=INCERTEZA!$C$10),INCERTEZA!$D$10,IF(AND(I64=INCERTEZA!$B$11,J64=INCERTEZA!$C$11),INCERTEZA!$D$11,IF(AND(I64=INCERTEZA!$B$12,J64=INCERTEZA!$C$12),INCERTEZA!$D$12,IF(AND(I64=INCERTEZA!$B$13,J64=INCERTEZA!$C$13),INCERTEZA!$D$13,IF(AND(I64=INCERTEZA!$B$14,J64=INCERTEZA!$C$14),INCERTEZA!$D$14,IF(AND(I64=INCERTEZA!$B$15,J64=INCERTEZA!$C$15),INCERTEZA!$D$15,IF(AND(I64=INCERTEZA!$B$16,J64=INCERTEZA!$C$16),INCERTEZA!$D$16,IF(AND(I64=INCERTEZA!$B$17,J64=INCERTEZA!$C$17),INCERTEZA!$D$17,"-")))))))))))))))</f>
        <v>-</v>
      </c>
      <c r="L64" s="33">
        <f>AEP!CX69</f>
        <v>0</v>
      </c>
      <c r="M64" s="34">
        <f>AEP!CO69</f>
        <v>0</v>
      </c>
      <c r="N64" s="55" t="b">
        <f>IF(AND(L64=monitoramento!$C$4,M64=monitoramento!$D$4),monitoramento!$E$4,IF(AND(L64=monitoramento!$C$5,M64=monitoramento!$D$5),monitoramento!$E$5,IF(AND(L64=monitoramento!$C$6,M64=monitoramento!$D$6),monitoramento!$E$6,IF(AND(L64=monitoramento!$C$7,M64=monitoramento!$D$7),monitoramento!$E$7,IF(AND(L64=monitoramento!$C$8,M64=monitoramento!$D$8),monitoramento!$E$8,IF(AND(L64=monitoramento!$C$9,M64=monitoramento!$D$9),monitoramento!$E$9,IF(AND(L64=monitoramento!$C$10,M64=monitoramento!$D$10),monitoramento!$E$10,IF(AND(L64=monitoramento!$C$11,M64=monitoramento!$D$11),monitoramento!$E$11,IF(AND(L64=monitoramento!$C$12,M64=monitoramento!$D$12),monitoramento!$E$12,IF(AND(L64=monitoramento!$C$13,M64=monitoramento!$D$13),monitoramento!$E$13,IF(AND(L64=monitoramento!$C$14,M64=monitoramento!$D$14),monitoramento!$E$14,IF(AND(L64=monitoramento!$C$15,M64=monitoramento!$D$15),monitoramento!$E$15,IF(AND(L64=monitoramento!$C$16,M64=monitoramento!$D$16),monitoramento!$E$16,IF(AND(L64=monitoramento!$C$17,M64=monitoramento!$D$17),monitoramento!$E$17,IF(AND(L64=monitoramento!$C$18,M64=monitoramento!$D$18),monitoramento!$E$18,IF(AND(L64=monitoramento!$C$19,M64=monitoramento!$D$19),monitoramento!$E$19))))))))))))))))</f>
        <v>0</v>
      </c>
      <c r="O64" s="55"/>
      <c r="P64" s="55"/>
    </row>
    <row r="65" spans="8:16" ht="25.9" customHeight="1" thickBot="1" x14ac:dyDescent="0.25">
      <c r="H65" s="29">
        <f>AEP!BF70</f>
        <v>0</v>
      </c>
      <c r="I65" s="30">
        <f>AEP!BI70</f>
        <v>0</v>
      </c>
      <c r="J65" s="31">
        <f>AEP!BM70</f>
        <v>0</v>
      </c>
      <c r="K65" s="32" t="str">
        <f>IF(AND(I65=INCERTEZA!$B$3,J65=INCERTEZA!$C$3),INCERTEZA!$D$3,IF(AND(I65=INCERTEZA!$B$4,J65=INCERTEZA!$C$4),INCERTEZA!$D$4,IF(AND(I65=INCERTEZA!$B$5,J65=INCERTEZA!$C$5),INCERTEZA!$D$5,IF(AND(I65=INCERTEZA!$B$6,J65=INCERTEZA!$C$6),INCERTEZA!$D$6,IF(AND(I65=INCERTEZA!$B$7,J65=INCERTEZA!$C$7),INCERTEZA!$D$7,IF(AND(I65=INCERTEZA!$B$8,J65=INCERTEZA!$C$8),INCERTEZA!$D$8,IF(AND(I65=INCERTEZA!$B$9,J65=INCERTEZA!$C$9),INCERTEZA!$D$9,IF(AND(I65=INCERTEZA!$B$10,J65=INCERTEZA!$C$10),INCERTEZA!$D$10,IF(AND(I65=INCERTEZA!$B$11,J65=INCERTEZA!$C$11),INCERTEZA!$D$11,IF(AND(I65=INCERTEZA!$B$12,J65=INCERTEZA!$C$12),INCERTEZA!$D$12,IF(AND(I65=INCERTEZA!$B$13,J65=INCERTEZA!$C$13),INCERTEZA!$D$13,IF(AND(I65=INCERTEZA!$B$14,J65=INCERTEZA!$C$14),INCERTEZA!$D$14,IF(AND(I65=INCERTEZA!$B$15,J65=INCERTEZA!$C$15),INCERTEZA!$D$15,IF(AND(I65=INCERTEZA!$B$16,J65=INCERTEZA!$C$16),INCERTEZA!$D$16,IF(AND(I65=INCERTEZA!$B$17,J65=INCERTEZA!$C$17),INCERTEZA!$D$17,"-")))))))))))))))</f>
        <v>-</v>
      </c>
      <c r="L65" s="33">
        <f>AEP!CX70</f>
        <v>0</v>
      </c>
      <c r="M65" s="34">
        <f>AEP!CO70</f>
        <v>0</v>
      </c>
      <c r="N65" s="55" t="b">
        <f>IF(AND(L65=monitoramento!$C$4,M65=monitoramento!$D$4),monitoramento!$E$4,IF(AND(L65=monitoramento!$C$5,M65=monitoramento!$D$5),monitoramento!$E$5,IF(AND(L65=monitoramento!$C$6,M65=monitoramento!$D$6),monitoramento!$E$6,IF(AND(L65=monitoramento!$C$7,M65=monitoramento!$D$7),monitoramento!$E$7,IF(AND(L65=monitoramento!$C$8,M65=monitoramento!$D$8),monitoramento!$E$8,IF(AND(L65=monitoramento!$C$9,M65=monitoramento!$D$9),monitoramento!$E$9,IF(AND(L65=monitoramento!$C$10,M65=monitoramento!$D$10),monitoramento!$E$10,IF(AND(L65=monitoramento!$C$11,M65=monitoramento!$D$11),monitoramento!$E$11,IF(AND(L65=monitoramento!$C$12,M65=monitoramento!$D$12),monitoramento!$E$12,IF(AND(L65=monitoramento!$C$13,M65=monitoramento!$D$13),monitoramento!$E$13,IF(AND(L65=monitoramento!$C$14,M65=monitoramento!$D$14),monitoramento!$E$14,IF(AND(L65=monitoramento!$C$15,M65=monitoramento!$D$15),monitoramento!$E$15,IF(AND(L65=monitoramento!$C$16,M65=monitoramento!$D$16),monitoramento!$E$16,IF(AND(L65=monitoramento!$C$17,M65=monitoramento!$D$17),monitoramento!$E$17,IF(AND(L65=monitoramento!$C$18,M65=monitoramento!$D$18),monitoramento!$E$18,IF(AND(L65=monitoramento!$C$19,M65=monitoramento!$D$19),monitoramento!$E$19))))))))))))))))</f>
        <v>0</v>
      </c>
      <c r="O65" s="55"/>
      <c r="P65" s="55"/>
    </row>
    <row r="66" spans="8:16" ht="25.9" customHeight="1" thickBot="1" x14ac:dyDescent="0.25">
      <c r="H66" s="29">
        <f>AEP!BF71</f>
        <v>0</v>
      </c>
      <c r="I66" s="30">
        <f>AEP!BI71</f>
        <v>0</v>
      </c>
      <c r="J66" s="31">
        <f>AEP!BM71</f>
        <v>0</v>
      </c>
      <c r="K66" s="32" t="str">
        <f>IF(AND(I66=INCERTEZA!$B$3,J66=INCERTEZA!$C$3),INCERTEZA!$D$3,IF(AND(I66=INCERTEZA!$B$4,J66=INCERTEZA!$C$4),INCERTEZA!$D$4,IF(AND(I66=INCERTEZA!$B$5,J66=INCERTEZA!$C$5),INCERTEZA!$D$5,IF(AND(I66=INCERTEZA!$B$6,J66=INCERTEZA!$C$6),INCERTEZA!$D$6,IF(AND(I66=INCERTEZA!$B$7,J66=INCERTEZA!$C$7),INCERTEZA!$D$7,IF(AND(I66=INCERTEZA!$B$8,J66=INCERTEZA!$C$8),INCERTEZA!$D$8,IF(AND(I66=INCERTEZA!$B$9,J66=INCERTEZA!$C$9),INCERTEZA!$D$9,IF(AND(I66=INCERTEZA!$B$10,J66=INCERTEZA!$C$10),INCERTEZA!$D$10,IF(AND(I66=INCERTEZA!$B$11,J66=INCERTEZA!$C$11),INCERTEZA!$D$11,IF(AND(I66=INCERTEZA!$B$12,J66=INCERTEZA!$C$12),INCERTEZA!$D$12,IF(AND(I66=INCERTEZA!$B$13,J66=INCERTEZA!$C$13),INCERTEZA!$D$13,IF(AND(I66=INCERTEZA!$B$14,J66=INCERTEZA!$C$14),INCERTEZA!$D$14,IF(AND(I66=INCERTEZA!$B$15,J66=INCERTEZA!$C$15),INCERTEZA!$D$15,IF(AND(I66=INCERTEZA!$B$16,J66=INCERTEZA!$C$16),INCERTEZA!$D$16,IF(AND(I66=INCERTEZA!$B$17,J66=INCERTEZA!$C$17),INCERTEZA!$D$17,"-")))))))))))))))</f>
        <v>-</v>
      </c>
      <c r="L66" s="33">
        <f>AEP!CX71</f>
        <v>0</v>
      </c>
      <c r="M66" s="34">
        <f>AEP!CO71</f>
        <v>0</v>
      </c>
      <c r="N66" s="55" t="b">
        <f>IF(AND(L66=monitoramento!$C$4,M66=monitoramento!$D$4),monitoramento!$E$4,IF(AND(L66=monitoramento!$C$5,M66=monitoramento!$D$5),monitoramento!$E$5,IF(AND(L66=monitoramento!$C$6,M66=monitoramento!$D$6),monitoramento!$E$6,IF(AND(L66=monitoramento!$C$7,M66=monitoramento!$D$7),monitoramento!$E$7,IF(AND(L66=monitoramento!$C$8,M66=monitoramento!$D$8),monitoramento!$E$8,IF(AND(L66=monitoramento!$C$9,M66=monitoramento!$D$9),monitoramento!$E$9,IF(AND(L66=monitoramento!$C$10,M66=monitoramento!$D$10),monitoramento!$E$10,IF(AND(L66=monitoramento!$C$11,M66=monitoramento!$D$11),monitoramento!$E$11,IF(AND(L66=monitoramento!$C$12,M66=monitoramento!$D$12),monitoramento!$E$12,IF(AND(L66=monitoramento!$C$13,M66=monitoramento!$D$13),monitoramento!$E$13,IF(AND(L66=monitoramento!$C$14,M66=monitoramento!$D$14),monitoramento!$E$14,IF(AND(L66=monitoramento!$C$15,M66=monitoramento!$D$15),monitoramento!$E$15,IF(AND(L66=monitoramento!$C$16,M66=monitoramento!$D$16),monitoramento!$E$16,IF(AND(L66=monitoramento!$C$17,M66=monitoramento!$D$17),monitoramento!$E$17,IF(AND(L66=monitoramento!$C$18,M66=monitoramento!$D$18),monitoramento!$E$18,IF(AND(L66=monitoramento!$C$19,M66=monitoramento!$D$19),monitoramento!$E$19))))))))))))))))</f>
        <v>0</v>
      </c>
      <c r="O66" s="55"/>
      <c r="P66" s="55"/>
    </row>
    <row r="67" spans="8:16" ht="25.9" customHeight="1" thickBot="1" x14ac:dyDescent="0.25">
      <c r="H67" s="29">
        <f>AEP!BF72</f>
        <v>0</v>
      </c>
      <c r="I67" s="30">
        <f>AEP!BI72</f>
        <v>0</v>
      </c>
      <c r="J67" s="31">
        <f>AEP!BM72</f>
        <v>0</v>
      </c>
      <c r="K67" s="32" t="str">
        <f>IF(AND(I67=INCERTEZA!$B$3,J67=INCERTEZA!$C$3),INCERTEZA!$D$3,IF(AND(I67=INCERTEZA!$B$4,J67=INCERTEZA!$C$4),INCERTEZA!$D$4,IF(AND(I67=INCERTEZA!$B$5,J67=INCERTEZA!$C$5),INCERTEZA!$D$5,IF(AND(I67=INCERTEZA!$B$6,J67=INCERTEZA!$C$6),INCERTEZA!$D$6,IF(AND(I67=INCERTEZA!$B$7,J67=INCERTEZA!$C$7),INCERTEZA!$D$7,IF(AND(I67=INCERTEZA!$B$8,J67=INCERTEZA!$C$8),INCERTEZA!$D$8,IF(AND(I67=INCERTEZA!$B$9,J67=INCERTEZA!$C$9),INCERTEZA!$D$9,IF(AND(I67=INCERTEZA!$B$10,J67=INCERTEZA!$C$10),INCERTEZA!$D$10,IF(AND(I67=INCERTEZA!$B$11,J67=INCERTEZA!$C$11),INCERTEZA!$D$11,IF(AND(I67=INCERTEZA!$B$12,J67=INCERTEZA!$C$12),INCERTEZA!$D$12,IF(AND(I67=INCERTEZA!$B$13,J67=INCERTEZA!$C$13),INCERTEZA!$D$13,IF(AND(I67=INCERTEZA!$B$14,J67=INCERTEZA!$C$14),INCERTEZA!$D$14,IF(AND(I67=INCERTEZA!$B$15,J67=INCERTEZA!$C$15),INCERTEZA!$D$15,IF(AND(I67=INCERTEZA!$B$16,J67=INCERTEZA!$C$16),INCERTEZA!$D$16,IF(AND(I67=INCERTEZA!$B$17,J67=INCERTEZA!$C$17),INCERTEZA!$D$17,"-")))))))))))))))</f>
        <v>-</v>
      </c>
      <c r="L67" s="33">
        <f>AEP!CX72</f>
        <v>0</v>
      </c>
      <c r="M67" s="34">
        <f>AEP!CO72</f>
        <v>0</v>
      </c>
      <c r="N67" s="55" t="b">
        <f>IF(AND(L67=monitoramento!$C$4,M67=monitoramento!$D$4),monitoramento!$E$4,IF(AND(L67=monitoramento!$C$5,M67=monitoramento!$D$5),monitoramento!$E$5,IF(AND(L67=monitoramento!$C$6,M67=monitoramento!$D$6),monitoramento!$E$6,IF(AND(L67=monitoramento!$C$7,M67=monitoramento!$D$7),monitoramento!$E$7,IF(AND(L67=monitoramento!$C$8,M67=monitoramento!$D$8),monitoramento!$E$8,IF(AND(L67=monitoramento!$C$9,M67=monitoramento!$D$9),monitoramento!$E$9,IF(AND(L67=monitoramento!$C$10,M67=monitoramento!$D$10),monitoramento!$E$10,IF(AND(L67=monitoramento!$C$11,M67=monitoramento!$D$11),monitoramento!$E$11,IF(AND(L67=monitoramento!$C$12,M67=monitoramento!$D$12),monitoramento!$E$12,IF(AND(L67=monitoramento!$C$13,M67=monitoramento!$D$13),monitoramento!$E$13,IF(AND(L67=monitoramento!$C$14,M67=monitoramento!$D$14),monitoramento!$E$14,IF(AND(L67=monitoramento!$C$15,M67=monitoramento!$D$15),monitoramento!$E$15,IF(AND(L67=monitoramento!$C$16,M67=monitoramento!$D$16),monitoramento!$E$16,IF(AND(L67=monitoramento!$C$17,M67=monitoramento!$D$17),monitoramento!$E$17,IF(AND(L67=monitoramento!$C$18,M67=monitoramento!$D$18),monitoramento!$E$18,IF(AND(L67=monitoramento!$C$19,M67=monitoramento!$D$19),monitoramento!$E$19))))))))))))))))</f>
        <v>0</v>
      </c>
      <c r="O67" s="55"/>
      <c r="P67" s="55"/>
    </row>
    <row r="68" spans="8:16" ht="25.9" customHeight="1" thickBot="1" x14ac:dyDescent="0.25">
      <c r="H68" s="29">
        <f>AEP!BF73</f>
        <v>0</v>
      </c>
      <c r="I68" s="30">
        <f>AEP!BI73</f>
        <v>0</v>
      </c>
      <c r="J68" s="31">
        <f>AEP!BM73</f>
        <v>0</v>
      </c>
      <c r="K68" s="32" t="str">
        <f>IF(AND(I68=INCERTEZA!$B$3,J68=INCERTEZA!$C$3),INCERTEZA!$D$3,IF(AND(I68=INCERTEZA!$B$4,J68=INCERTEZA!$C$4),INCERTEZA!$D$4,IF(AND(I68=INCERTEZA!$B$5,J68=INCERTEZA!$C$5),INCERTEZA!$D$5,IF(AND(I68=INCERTEZA!$B$6,J68=INCERTEZA!$C$6),INCERTEZA!$D$6,IF(AND(I68=INCERTEZA!$B$7,J68=INCERTEZA!$C$7),INCERTEZA!$D$7,IF(AND(I68=INCERTEZA!$B$8,J68=INCERTEZA!$C$8),INCERTEZA!$D$8,IF(AND(I68=INCERTEZA!$B$9,J68=INCERTEZA!$C$9),INCERTEZA!$D$9,IF(AND(I68=INCERTEZA!$B$10,J68=INCERTEZA!$C$10),INCERTEZA!$D$10,IF(AND(I68=INCERTEZA!$B$11,J68=INCERTEZA!$C$11),INCERTEZA!$D$11,IF(AND(I68=INCERTEZA!$B$12,J68=INCERTEZA!$C$12),INCERTEZA!$D$12,IF(AND(I68=INCERTEZA!$B$13,J68=INCERTEZA!$C$13),INCERTEZA!$D$13,IF(AND(I68=INCERTEZA!$B$14,J68=INCERTEZA!$C$14),INCERTEZA!$D$14,IF(AND(I68=INCERTEZA!$B$15,J68=INCERTEZA!$C$15),INCERTEZA!$D$15,IF(AND(I68=INCERTEZA!$B$16,J68=INCERTEZA!$C$16),INCERTEZA!$D$16,IF(AND(I68=INCERTEZA!$B$17,J68=INCERTEZA!$C$17),INCERTEZA!$D$17,"-")))))))))))))))</f>
        <v>-</v>
      </c>
      <c r="L68" s="33">
        <f>AEP!CX73</f>
        <v>0</v>
      </c>
      <c r="M68" s="34">
        <f>AEP!CO73</f>
        <v>0</v>
      </c>
      <c r="N68" s="55" t="b">
        <f>IF(AND(L68=monitoramento!$C$4,M68=monitoramento!$D$4),monitoramento!$E$4,IF(AND(L68=monitoramento!$C$5,M68=monitoramento!$D$5),monitoramento!$E$5,IF(AND(L68=monitoramento!$C$6,M68=monitoramento!$D$6),monitoramento!$E$6,IF(AND(L68=monitoramento!$C$7,M68=monitoramento!$D$7),monitoramento!$E$7,IF(AND(L68=monitoramento!$C$8,M68=monitoramento!$D$8),monitoramento!$E$8,IF(AND(L68=monitoramento!$C$9,M68=monitoramento!$D$9),monitoramento!$E$9,IF(AND(L68=monitoramento!$C$10,M68=monitoramento!$D$10),monitoramento!$E$10,IF(AND(L68=monitoramento!$C$11,M68=monitoramento!$D$11),monitoramento!$E$11,IF(AND(L68=monitoramento!$C$12,M68=monitoramento!$D$12),monitoramento!$E$12,IF(AND(L68=monitoramento!$C$13,M68=monitoramento!$D$13),monitoramento!$E$13,IF(AND(L68=monitoramento!$C$14,M68=monitoramento!$D$14),monitoramento!$E$14,IF(AND(L68=monitoramento!$C$15,M68=monitoramento!$D$15),monitoramento!$E$15,IF(AND(L68=monitoramento!$C$16,M68=monitoramento!$D$16),monitoramento!$E$16,IF(AND(L68=monitoramento!$C$17,M68=monitoramento!$D$17),monitoramento!$E$17,IF(AND(L68=monitoramento!$C$18,M68=monitoramento!$D$18),monitoramento!$E$18,IF(AND(L68=monitoramento!$C$19,M68=monitoramento!$D$19),monitoramento!$E$19))))))))))))))))</f>
        <v>0</v>
      </c>
      <c r="O68" s="55"/>
      <c r="P68" s="55"/>
    </row>
    <row r="69" spans="8:16" ht="25.9" customHeight="1" thickBot="1" x14ac:dyDescent="0.25">
      <c r="H69" s="29">
        <f>AEP!BF74</f>
        <v>0</v>
      </c>
      <c r="I69" s="30">
        <f>AEP!BI74</f>
        <v>0</v>
      </c>
      <c r="J69" s="31">
        <f>AEP!BM74</f>
        <v>0</v>
      </c>
      <c r="K69" s="32" t="str">
        <f>IF(AND(I69=INCERTEZA!$B$3,J69=INCERTEZA!$C$3),INCERTEZA!$D$3,IF(AND(I69=INCERTEZA!$B$4,J69=INCERTEZA!$C$4),INCERTEZA!$D$4,IF(AND(I69=INCERTEZA!$B$5,J69=INCERTEZA!$C$5),INCERTEZA!$D$5,IF(AND(I69=INCERTEZA!$B$6,J69=INCERTEZA!$C$6),INCERTEZA!$D$6,IF(AND(I69=INCERTEZA!$B$7,J69=INCERTEZA!$C$7),INCERTEZA!$D$7,IF(AND(I69=INCERTEZA!$B$8,J69=INCERTEZA!$C$8),INCERTEZA!$D$8,IF(AND(I69=INCERTEZA!$B$9,J69=INCERTEZA!$C$9),INCERTEZA!$D$9,IF(AND(I69=INCERTEZA!$B$10,J69=INCERTEZA!$C$10),INCERTEZA!$D$10,IF(AND(I69=INCERTEZA!$B$11,J69=INCERTEZA!$C$11),INCERTEZA!$D$11,IF(AND(I69=INCERTEZA!$B$12,J69=INCERTEZA!$C$12),INCERTEZA!$D$12,IF(AND(I69=INCERTEZA!$B$13,J69=INCERTEZA!$C$13),INCERTEZA!$D$13,IF(AND(I69=INCERTEZA!$B$14,J69=INCERTEZA!$C$14),INCERTEZA!$D$14,IF(AND(I69=INCERTEZA!$B$15,J69=INCERTEZA!$C$15),INCERTEZA!$D$15,IF(AND(I69=INCERTEZA!$B$16,J69=INCERTEZA!$C$16),INCERTEZA!$D$16,IF(AND(I69=INCERTEZA!$B$17,J69=INCERTEZA!$C$17),INCERTEZA!$D$17,"-")))))))))))))))</f>
        <v>-</v>
      </c>
      <c r="L69" s="33">
        <f>AEP!CX74</f>
        <v>0</v>
      </c>
      <c r="M69" s="34">
        <f>AEP!CO74</f>
        <v>0</v>
      </c>
      <c r="N69" s="55" t="b">
        <f>IF(AND(L69=monitoramento!$C$4,M69=monitoramento!$D$4),monitoramento!$E$4,IF(AND(L69=monitoramento!$C$5,M69=monitoramento!$D$5),monitoramento!$E$5,IF(AND(L69=monitoramento!$C$6,M69=monitoramento!$D$6),monitoramento!$E$6,IF(AND(L69=monitoramento!$C$7,M69=monitoramento!$D$7),monitoramento!$E$7,IF(AND(L69=monitoramento!$C$8,M69=monitoramento!$D$8),monitoramento!$E$8,IF(AND(L69=monitoramento!$C$9,M69=monitoramento!$D$9),monitoramento!$E$9,IF(AND(L69=monitoramento!$C$10,M69=monitoramento!$D$10),monitoramento!$E$10,IF(AND(L69=monitoramento!$C$11,M69=monitoramento!$D$11),monitoramento!$E$11,IF(AND(L69=monitoramento!$C$12,M69=monitoramento!$D$12),monitoramento!$E$12,IF(AND(L69=monitoramento!$C$13,M69=monitoramento!$D$13),monitoramento!$E$13,IF(AND(L69=monitoramento!$C$14,M69=monitoramento!$D$14),monitoramento!$E$14,IF(AND(L69=monitoramento!$C$15,M69=monitoramento!$D$15),monitoramento!$E$15,IF(AND(L69=monitoramento!$C$16,M69=monitoramento!$D$16),monitoramento!$E$16,IF(AND(L69=monitoramento!$C$17,M69=monitoramento!$D$17),monitoramento!$E$17,IF(AND(L69=monitoramento!$C$18,M69=monitoramento!$D$18),monitoramento!$E$18,IF(AND(L69=monitoramento!$C$19,M69=monitoramento!$D$19),monitoramento!$E$19))))))))))))))))</f>
        <v>0</v>
      </c>
      <c r="O69" s="55"/>
      <c r="P69" s="55"/>
    </row>
    <row r="70" spans="8:16" ht="25.9" customHeight="1" thickBot="1" x14ac:dyDescent="0.25">
      <c r="H70" s="29">
        <f>AEP!BF75</f>
        <v>0</v>
      </c>
      <c r="I70" s="30">
        <f>AEP!BI75</f>
        <v>0</v>
      </c>
      <c r="J70" s="31">
        <f>AEP!BM75</f>
        <v>0</v>
      </c>
      <c r="K70" s="32" t="str">
        <f>IF(AND(I70=INCERTEZA!$B$3,J70=INCERTEZA!$C$3),INCERTEZA!$D$3,IF(AND(I70=INCERTEZA!$B$4,J70=INCERTEZA!$C$4),INCERTEZA!$D$4,IF(AND(I70=INCERTEZA!$B$5,J70=INCERTEZA!$C$5),INCERTEZA!$D$5,IF(AND(I70=INCERTEZA!$B$6,J70=INCERTEZA!$C$6),INCERTEZA!$D$6,IF(AND(I70=INCERTEZA!$B$7,J70=INCERTEZA!$C$7),INCERTEZA!$D$7,IF(AND(I70=INCERTEZA!$B$8,J70=INCERTEZA!$C$8),INCERTEZA!$D$8,IF(AND(I70=INCERTEZA!$B$9,J70=INCERTEZA!$C$9),INCERTEZA!$D$9,IF(AND(I70=INCERTEZA!$B$10,J70=INCERTEZA!$C$10),INCERTEZA!$D$10,IF(AND(I70=INCERTEZA!$B$11,J70=INCERTEZA!$C$11),INCERTEZA!$D$11,IF(AND(I70=INCERTEZA!$B$12,J70=INCERTEZA!$C$12),INCERTEZA!$D$12,IF(AND(I70=INCERTEZA!$B$13,J70=INCERTEZA!$C$13),INCERTEZA!$D$13,IF(AND(I70=INCERTEZA!$B$14,J70=INCERTEZA!$C$14),INCERTEZA!$D$14,IF(AND(I70=INCERTEZA!$B$15,J70=INCERTEZA!$C$15),INCERTEZA!$D$15,IF(AND(I70=INCERTEZA!$B$16,J70=INCERTEZA!$C$16),INCERTEZA!$D$16,IF(AND(I70=INCERTEZA!$B$17,J70=INCERTEZA!$C$17),INCERTEZA!$D$17,"-")))))))))))))))</f>
        <v>-</v>
      </c>
      <c r="L70" s="33">
        <f>AEP!CX75</f>
        <v>0</v>
      </c>
      <c r="M70" s="34">
        <f>AEP!CO75</f>
        <v>0</v>
      </c>
      <c r="N70" s="55" t="b">
        <f>IF(AND(L70=monitoramento!$C$4,M70=monitoramento!$D$4),monitoramento!$E$4,IF(AND(L70=monitoramento!$C$5,M70=monitoramento!$D$5),monitoramento!$E$5,IF(AND(L70=monitoramento!$C$6,M70=monitoramento!$D$6),monitoramento!$E$6,IF(AND(L70=monitoramento!$C$7,M70=monitoramento!$D$7),monitoramento!$E$7,IF(AND(L70=monitoramento!$C$8,M70=monitoramento!$D$8),monitoramento!$E$8,IF(AND(L70=monitoramento!$C$9,M70=monitoramento!$D$9),monitoramento!$E$9,IF(AND(L70=monitoramento!$C$10,M70=monitoramento!$D$10),monitoramento!$E$10,IF(AND(L70=monitoramento!$C$11,M70=monitoramento!$D$11),monitoramento!$E$11,IF(AND(L70=monitoramento!$C$12,M70=monitoramento!$D$12),monitoramento!$E$12,IF(AND(L70=monitoramento!$C$13,M70=monitoramento!$D$13),monitoramento!$E$13,IF(AND(L70=monitoramento!$C$14,M70=monitoramento!$D$14),monitoramento!$E$14,IF(AND(L70=monitoramento!$C$15,M70=monitoramento!$D$15),monitoramento!$E$15,IF(AND(L70=monitoramento!$C$16,M70=monitoramento!$D$16),monitoramento!$E$16,IF(AND(L70=monitoramento!$C$17,M70=monitoramento!$D$17),monitoramento!$E$17,IF(AND(L70=monitoramento!$C$18,M70=monitoramento!$D$18),monitoramento!$E$18,IF(AND(L70=monitoramento!$C$19,M70=monitoramento!$D$19),monitoramento!$E$19))))))))))))))))</f>
        <v>0</v>
      </c>
      <c r="O70" s="55"/>
      <c r="P70" s="55"/>
    </row>
    <row r="71" spans="8:16" ht="25.9" customHeight="1" thickBot="1" x14ac:dyDescent="0.25">
      <c r="H71" s="29">
        <f>AEP!BF76</f>
        <v>0</v>
      </c>
      <c r="I71" s="30">
        <f>AEP!BI76</f>
        <v>0</v>
      </c>
      <c r="J71" s="31">
        <f>AEP!BM76</f>
        <v>0</v>
      </c>
      <c r="K71" s="32" t="str">
        <f>IF(AND(I71=INCERTEZA!$B$3,J71=INCERTEZA!$C$3),INCERTEZA!$D$3,IF(AND(I71=INCERTEZA!$B$4,J71=INCERTEZA!$C$4),INCERTEZA!$D$4,IF(AND(I71=INCERTEZA!$B$5,J71=INCERTEZA!$C$5),INCERTEZA!$D$5,IF(AND(I71=INCERTEZA!$B$6,J71=INCERTEZA!$C$6),INCERTEZA!$D$6,IF(AND(I71=INCERTEZA!$B$7,J71=INCERTEZA!$C$7),INCERTEZA!$D$7,IF(AND(I71=INCERTEZA!$B$8,J71=INCERTEZA!$C$8),INCERTEZA!$D$8,IF(AND(I71=INCERTEZA!$B$9,J71=INCERTEZA!$C$9),INCERTEZA!$D$9,IF(AND(I71=INCERTEZA!$B$10,J71=INCERTEZA!$C$10),INCERTEZA!$D$10,IF(AND(I71=INCERTEZA!$B$11,J71=INCERTEZA!$C$11),INCERTEZA!$D$11,IF(AND(I71=INCERTEZA!$B$12,J71=INCERTEZA!$C$12),INCERTEZA!$D$12,IF(AND(I71=INCERTEZA!$B$13,J71=INCERTEZA!$C$13),INCERTEZA!$D$13,IF(AND(I71=INCERTEZA!$B$14,J71=INCERTEZA!$C$14),INCERTEZA!$D$14,IF(AND(I71=INCERTEZA!$B$15,J71=INCERTEZA!$C$15),INCERTEZA!$D$15,IF(AND(I71=INCERTEZA!$B$16,J71=INCERTEZA!$C$16),INCERTEZA!$D$16,IF(AND(I71=INCERTEZA!$B$17,J71=INCERTEZA!$C$17),INCERTEZA!$D$17,"-")))))))))))))))</f>
        <v>-</v>
      </c>
      <c r="L71" s="33">
        <f>AEP!CX76</f>
        <v>0</v>
      </c>
      <c r="M71" s="34">
        <f>AEP!CO76</f>
        <v>0</v>
      </c>
      <c r="N71" s="55" t="b">
        <f>IF(AND(L71=monitoramento!$C$4,M71=monitoramento!$D$4),monitoramento!$E$4,IF(AND(L71=monitoramento!$C$5,M71=monitoramento!$D$5),monitoramento!$E$5,IF(AND(L71=monitoramento!$C$6,M71=monitoramento!$D$6),monitoramento!$E$6,IF(AND(L71=monitoramento!$C$7,M71=monitoramento!$D$7),monitoramento!$E$7,IF(AND(L71=monitoramento!$C$8,M71=monitoramento!$D$8),monitoramento!$E$8,IF(AND(L71=monitoramento!$C$9,M71=monitoramento!$D$9),monitoramento!$E$9,IF(AND(L71=monitoramento!$C$10,M71=monitoramento!$D$10),monitoramento!$E$10,IF(AND(L71=monitoramento!$C$11,M71=monitoramento!$D$11),monitoramento!$E$11,IF(AND(L71=monitoramento!$C$12,M71=monitoramento!$D$12),monitoramento!$E$12,IF(AND(L71=monitoramento!$C$13,M71=monitoramento!$D$13),monitoramento!$E$13,IF(AND(L71=monitoramento!$C$14,M71=monitoramento!$D$14),monitoramento!$E$14,IF(AND(L71=monitoramento!$C$15,M71=monitoramento!$D$15),monitoramento!$E$15,IF(AND(L71=monitoramento!$C$16,M71=monitoramento!$D$16),monitoramento!$E$16,IF(AND(L71=monitoramento!$C$17,M71=monitoramento!$D$17),monitoramento!$E$17,IF(AND(L71=monitoramento!$C$18,M71=monitoramento!$D$18),monitoramento!$E$18,IF(AND(L71=monitoramento!$C$19,M71=monitoramento!$D$19),monitoramento!$E$19))))))))))))))))</f>
        <v>0</v>
      </c>
      <c r="O71" s="55"/>
      <c r="P71" s="55"/>
    </row>
    <row r="72" spans="8:16" ht="25.9" customHeight="1" thickBot="1" x14ac:dyDescent="0.25">
      <c r="H72" s="29">
        <f>AEP!BF77</f>
        <v>0</v>
      </c>
      <c r="I72" s="30">
        <f>AEP!BI77</f>
        <v>0</v>
      </c>
      <c r="J72" s="31">
        <f>AEP!BM77</f>
        <v>0</v>
      </c>
      <c r="K72" s="32" t="str">
        <f>IF(AND(I72=INCERTEZA!$B$3,J72=INCERTEZA!$C$3),INCERTEZA!$D$3,IF(AND(I72=INCERTEZA!$B$4,J72=INCERTEZA!$C$4),INCERTEZA!$D$4,IF(AND(I72=INCERTEZA!$B$5,J72=INCERTEZA!$C$5),INCERTEZA!$D$5,IF(AND(I72=INCERTEZA!$B$6,J72=INCERTEZA!$C$6),INCERTEZA!$D$6,IF(AND(I72=INCERTEZA!$B$7,J72=INCERTEZA!$C$7),INCERTEZA!$D$7,IF(AND(I72=INCERTEZA!$B$8,J72=INCERTEZA!$C$8),INCERTEZA!$D$8,IF(AND(I72=INCERTEZA!$B$9,J72=INCERTEZA!$C$9),INCERTEZA!$D$9,IF(AND(I72=INCERTEZA!$B$10,J72=INCERTEZA!$C$10),INCERTEZA!$D$10,IF(AND(I72=INCERTEZA!$B$11,J72=INCERTEZA!$C$11),INCERTEZA!$D$11,IF(AND(I72=INCERTEZA!$B$12,J72=INCERTEZA!$C$12),INCERTEZA!$D$12,IF(AND(I72=INCERTEZA!$B$13,J72=INCERTEZA!$C$13),INCERTEZA!$D$13,IF(AND(I72=INCERTEZA!$B$14,J72=INCERTEZA!$C$14),INCERTEZA!$D$14,IF(AND(I72=INCERTEZA!$B$15,J72=INCERTEZA!$C$15),INCERTEZA!$D$15,IF(AND(I72=INCERTEZA!$B$16,J72=INCERTEZA!$C$16),INCERTEZA!$D$16,IF(AND(I72=INCERTEZA!$B$17,J72=INCERTEZA!$C$17),INCERTEZA!$D$17,"-")))))))))))))))</f>
        <v>-</v>
      </c>
      <c r="L72" s="33">
        <f>AEP!CX77</f>
        <v>0</v>
      </c>
      <c r="M72" s="34">
        <f>AEP!CO77</f>
        <v>0</v>
      </c>
      <c r="N72" s="55" t="b">
        <f>IF(AND(L72=monitoramento!$C$4,M72=monitoramento!$D$4),monitoramento!$E$4,IF(AND(L72=monitoramento!$C$5,M72=monitoramento!$D$5),monitoramento!$E$5,IF(AND(L72=monitoramento!$C$6,M72=monitoramento!$D$6),monitoramento!$E$6,IF(AND(L72=monitoramento!$C$7,M72=monitoramento!$D$7),monitoramento!$E$7,IF(AND(L72=monitoramento!$C$8,M72=monitoramento!$D$8),monitoramento!$E$8,IF(AND(L72=monitoramento!$C$9,M72=monitoramento!$D$9),monitoramento!$E$9,IF(AND(L72=monitoramento!$C$10,M72=monitoramento!$D$10),monitoramento!$E$10,IF(AND(L72=monitoramento!$C$11,M72=monitoramento!$D$11),monitoramento!$E$11,IF(AND(L72=monitoramento!$C$12,M72=monitoramento!$D$12),monitoramento!$E$12,IF(AND(L72=monitoramento!$C$13,M72=monitoramento!$D$13),monitoramento!$E$13,IF(AND(L72=monitoramento!$C$14,M72=monitoramento!$D$14),monitoramento!$E$14,IF(AND(L72=monitoramento!$C$15,M72=monitoramento!$D$15),monitoramento!$E$15,IF(AND(L72=monitoramento!$C$16,M72=monitoramento!$D$16),monitoramento!$E$16,IF(AND(L72=monitoramento!$C$17,M72=monitoramento!$D$17),monitoramento!$E$17,IF(AND(L72=monitoramento!$C$18,M72=monitoramento!$D$18),monitoramento!$E$18,IF(AND(L72=monitoramento!$C$19,M72=monitoramento!$D$19),monitoramento!$E$19))))))))))))))))</f>
        <v>0</v>
      </c>
      <c r="O72" s="55"/>
      <c r="P72" s="55"/>
    </row>
    <row r="73" spans="8:16" ht="25.9" customHeight="1" thickBot="1" x14ac:dyDescent="0.25">
      <c r="H73" s="29">
        <f>AEP!BF78</f>
        <v>0</v>
      </c>
      <c r="I73" s="30">
        <f>AEP!BI78</f>
        <v>0</v>
      </c>
      <c r="J73" s="31">
        <f>AEP!BM78</f>
        <v>0</v>
      </c>
      <c r="K73" s="32" t="str">
        <f>IF(AND(I73=INCERTEZA!$B$3,J73=INCERTEZA!$C$3),INCERTEZA!$D$3,IF(AND(I73=INCERTEZA!$B$4,J73=INCERTEZA!$C$4),INCERTEZA!$D$4,IF(AND(I73=INCERTEZA!$B$5,J73=INCERTEZA!$C$5),INCERTEZA!$D$5,IF(AND(I73=INCERTEZA!$B$6,J73=INCERTEZA!$C$6),INCERTEZA!$D$6,IF(AND(I73=INCERTEZA!$B$7,J73=INCERTEZA!$C$7),INCERTEZA!$D$7,IF(AND(I73=INCERTEZA!$B$8,J73=INCERTEZA!$C$8),INCERTEZA!$D$8,IF(AND(I73=INCERTEZA!$B$9,J73=INCERTEZA!$C$9),INCERTEZA!$D$9,IF(AND(I73=INCERTEZA!$B$10,J73=INCERTEZA!$C$10),INCERTEZA!$D$10,IF(AND(I73=INCERTEZA!$B$11,J73=INCERTEZA!$C$11),INCERTEZA!$D$11,IF(AND(I73=INCERTEZA!$B$12,J73=INCERTEZA!$C$12),INCERTEZA!$D$12,IF(AND(I73=INCERTEZA!$B$13,J73=INCERTEZA!$C$13),INCERTEZA!$D$13,IF(AND(I73=INCERTEZA!$B$14,J73=INCERTEZA!$C$14),INCERTEZA!$D$14,IF(AND(I73=INCERTEZA!$B$15,J73=INCERTEZA!$C$15),INCERTEZA!$D$15,IF(AND(I73=INCERTEZA!$B$16,J73=INCERTEZA!$C$16),INCERTEZA!$D$16,IF(AND(I73=INCERTEZA!$B$17,J73=INCERTEZA!$C$17),INCERTEZA!$D$17,"-")))))))))))))))</f>
        <v>-</v>
      </c>
      <c r="L73" s="33">
        <f>AEP!CX78</f>
        <v>0</v>
      </c>
      <c r="M73" s="34">
        <f>AEP!CO78</f>
        <v>0</v>
      </c>
      <c r="N73" s="55" t="b">
        <f>IF(AND(L73=monitoramento!$C$4,M73=monitoramento!$D$4),monitoramento!$E$4,IF(AND(L73=monitoramento!$C$5,M73=monitoramento!$D$5),monitoramento!$E$5,IF(AND(L73=monitoramento!$C$6,M73=monitoramento!$D$6),monitoramento!$E$6,IF(AND(L73=monitoramento!$C$7,M73=monitoramento!$D$7),monitoramento!$E$7,IF(AND(L73=monitoramento!$C$8,M73=monitoramento!$D$8),monitoramento!$E$8,IF(AND(L73=monitoramento!$C$9,M73=monitoramento!$D$9),monitoramento!$E$9,IF(AND(L73=monitoramento!$C$10,M73=monitoramento!$D$10),monitoramento!$E$10,IF(AND(L73=monitoramento!$C$11,M73=monitoramento!$D$11),monitoramento!$E$11,IF(AND(L73=monitoramento!$C$12,M73=monitoramento!$D$12),monitoramento!$E$12,IF(AND(L73=monitoramento!$C$13,M73=monitoramento!$D$13),monitoramento!$E$13,IF(AND(L73=monitoramento!$C$14,M73=monitoramento!$D$14),monitoramento!$E$14,IF(AND(L73=monitoramento!$C$15,M73=monitoramento!$D$15),monitoramento!$E$15,IF(AND(L73=monitoramento!$C$16,M73=monitoramento!$D$16),monitoramento!$E$16,IF(AND(L73=monitoramento!$C$17,M73=monitoramento!$D$17),monitoramento!$E$17,IF(AND(L73=monitoramento!$C$18,M73=monitoramento!$D$18),monitoramento!$E$18,IF(AND(L73=monitoramento!$C$19,M73=monitoramento!$D$19),monitoramento!$E$19))))))))))))))))</f>
        <v>0</v>
      </c>
      <c r="O73" s="55"/>
      <c r="P73" s="55"/>
    </row>
    <row r="74" spans="8:16" ht="25.9" customHeight="1" thickBot="1" x14ac:dyDescent="0.25">
      <c r="H74" s="29">
        <f>AEP!BF79</f>
        <v>0</v>
      </c>
      <c r="I74" s="30">
        <f>AEP!BI79</f>
        <v>0</v>
      </c>
      <c r="J74" s="31">
        <f>AEP!BM79</f>
        <v>0</v>
      </c>
      <c r="K74" s="32" t="str">
        <f>IF(AND(I74=INCERTEZA!$B$3,J74=INCERTEZA!$C$3),INCERTEZA!$D$3,IF(AND(I74=INCERTEZA!$B$4,J74=INCERTEZA!$C$4),INCERTEZA!$D$4,IF(AND(I74=INCERTEZA!$B$5,J74=INCERTEZA!$C$5),INCERTEZA!$D$5,IF(AND(I74=INCERTEZA!$B$6,J74=INCERTEZA!$C$6),INCERTEZA!$D$6,IF(AND(I74=INCERTEZA!$B$7,J74=INCERTEZA!$C$7),INCERTEZA!$D$7,IF(AND(I74=INCERTEZA!$B$8,J74=INCERTEZA!$C$8),INCERTEZA!$D$8,IF(AND(I74=INCERTEZA!$B$9,J74=INCERTEZA!$C$9),INCERTEZA!$D$9,IF(AND(I74=INCERTEZA!$B$10,J74=INCERTEZA!$C$10),INCERTEZA!$D$10,IF(AND(I74=INCERTEZA!$B$11,J74=INCERTEZA!$C$11),INCERTEZA!$D$11,IF(AND(I74=INCERTEZA!$B$12,J74=INCERTEZA!$C$12),INCERTEZA!$D$12,IF(AND(I74=INCERTEZA!$B$13,J74=INCERTEZA!$C$13),INCERTEZA!$D$13,IF(AND(I74=INCERTEZA!$B$14,J74=INCERTEZA!$C$14),INCERTEZA!$D$14,IF(AND(I74=INCERTEZA!$B$15,J74=INCERTEZA!$C$15),INCERTEZA!$D$15,IF(AND(I74=INCERTEZA!$B$16,J74=INCERTEZA!$C$16),INCERTEZA!$D$16,IF(AND(I74=INCERTEZA!$B$17,J74=INCERTEZA!$C$17),INCERTEZA!$D$17,"-")))))))))))))))</f>
        <v>-</v>
      </c>
      <c r="L74" s="33">
        <f>AEP!CX79</f>
        <v>0</v>
      </c>
      <c r="M74" s="34">
        <f>AEP!CO79</f>
        <v>0</v>
      </c>
      <c r="N74" s="55" t="b">
        <f>IF(AND(L74=monitoramento!$C$4,M74=monitoramento!$D$4),monitoramento!$E$4,IF(AND(L74=monitoramento!$C$5,M74=monitoramento!$D$5),monitoramento!$E$5,IF(AND(L74=monitoramento!$C$6,M74=monitoramento!$D$6),monitoramento!$E$6,IF(AND(L74=monitoramento!$C$7,M74=monitoramento!$D$7),monitoramento!$E$7,IF(AND(L74=monitoramento!$C$8,M74=monitoramento!$D$8),monitoramento!$E$8,IF(AND(L74=monitoramento!$C$9,M74=monitoramento!$D$9),monitoramento!$E$9,IF(AND(L74=monitoramento!$C$10,M74=monitoramento!$D$10),monitoramento!$E$10,IF(AND(L74=monitoramento!$C$11,M74=monitoramento!$D$11),monitoramento!$E$11,IF(AND(L74=monitoramento!$C$12,M74=monitoramento!$D$12),monitoramento!$E$12,IF(AND(L74=monitoramento!$C$13,M74=monitoramento!$D$13),monitoramento!$E$13,IF(AND(L74=monitoramento!$C$14,M74=monitoramento!$D$14),monitoramento!$E$14,IF(AND(L74=monitoramento!$C$15,M74=monitoramento!$D$15),monitoramento!$E$15,IF(AND(L74=monitoramento!$C$16,M74=monitoramento!$D$16),monitoramento!$E$16,IF(AND(L74=monitoramento!$C$17,M74=monitoramento!$D$17),monitoramento!$E$17,IF(AND(L74=monitoramento!$C$18,M74=monitoramento!$D$18),monitoramento!$E$18,IF(AND(L74=monitoramento!$C$19,M74=monitoramento!$D$19),monitoramento!$E$19))))))))))))))))</f>
        <v>0</v>
      </c>
      <c r="O74" s="55"/>
      <c r="P74" s="55"/>
    </row>
    <row r="75" spans="8:16" ht="25.9" customHeight="1" thickBot="1" x14ac:dyDescent="0.25">
      <c r="H75" s="29">
        <f>AEP!BF80</f>
        <v>0</v>
      </c>
      <c r="I75" s="30">
        <f>AEP!BI80</f>
        <v>0</v>
      </c>
      <c r="J75" s="31">
        <f>AEP!BM80</f>
        <v>0</v>
      </c>
      <c r="K75" s="32" t="str">
        <f>IF(AND(I75=INCERTEZA!$B$3,J75=INCERTEZA!$C$3),INCERTEZA!$D$3,IF(AND(I75=INCERTEZA!$B$4,J75=INCERTEZA!$C$4),INCERTEZA!$D$4,IF(AND(I75=INCERTEZA!$B$5,J75=INCERTEZA!$C$5),INCERTEZA!$D$5,IF(AND(I75=INCERTEZA!$B$6,J75=INCERTEZA!$C$6),INCERTEZA!$D$6,IF(AND(I75=INCERTEZA!$B$7,J75=INCERTEZA!$C$7),INCERTEZA!$D$7,IF(AND(I75=INCERTEZA!$B$8,J75=INCERTEZA!$C$8),INCERTEZA!$D$8,IF(AND(I75=INCERTEZA!$B$9,J75=INCERTEZA!$C$9),INCERTEZA!$D$9,IF(AND(I75=INCERTEZA!$B$10,J75=INCERTEZA!$C$10),INCERTEZA!$D$10,IF(AND(I75=INCERTEZA!$B$11,J75=INCERTEZA!$C$11),INCERTEZA!$D$11,IF(AND(I75=INCERTEZA!$B$12,J75=INCERTEZA!$C$12),INCERTEZA!$D$12,IF(AND(I75=INCERTEZA!$B$13,J75=INCERTEZA!$C$13),INCERTEZA!$D$13,IF(AND(I75=INCERTEZA!$B$14,J75=INCERTEZA!$C$14),INCERTEZA!$D$14,IF(AND(I75=INCERTEZA!$B$15,J75=INCERTEZA!$C$15),INCERTEZA!$D$15,IF(AND(I75=INCERTEZA!$B$16,J75=INCERTEZA!$C$16),INCERTEZA!$D$16,IF(AND(I75=INCERTEZA!$B$17,J75=INCERTEZA!$C$17),INCERTEZA!$D$17,"-")))))))))))))))</f>
        <v>-</v>
      </c>
      <c r="L75" s="33">
        <f>AEP!CX80</f>
        <v>0</v>
      </c>
      <c r="M75" s="34">
        <f>AEP!CO80</f>
        <v>0</v>
      </c>
      <c r="N75" s="55" t="b">
        <f>IF(AND(L75=monitoramento!$C$4,M75=monitoramento!$D$4),monitoramento!$E$4,IF(AND(L75=monitoramento!$C$5,M75=monitoramento!$D$5),monitoramento!$E$5,IF(AND(L75=monitoramento!$C$6,M75=monitoramento!$D$6),monitoramento!$E$6,IF(AND(L75=monitoramento!$C$7,M75=monitoramento!$D$7),monitoramento!$E$7,IF(AND(L75=monitoramento!$C$8,M75=monitoramento!$D$8),monitoramento!$E$8,IF(AND(L75=monitoramento!$C$9,M75=monitoramento!$D$9),monitoramento!$E$9,IF(AND(L75=monitoramento!$C$10,M75=monitoramento!$D$10),monitoramento!$E$10,IF(AND(L75=monitoramento!$C$11,M75=monitoramento!$D$11),monitoramento!$E$11,IF(AND(L75=monitoramento!$C$12,M75=monitoramento!$D$12),monitoramento!$E$12,IF(AND(L75=monitoramento!$C$13,M75=monitoramento!$D$13),monitoramento!$E$13,IF(AND(L75=monitoramento!$C$14,M75=monitoramento!$D$14),monitoramento!$E$14,IF(AND(L75=monitoramento!$C$15,M75=monitoramento!$D$15),monitoramento!$E$15,IF(AND(L75=monitoramento!$C$16,M75=monitoramento!$D$16),monitoramento!$E$16,IF(AND(L75=monitoramento!$C$17,M75=monitoramento!$D$17),monitoramento!$E$17,IF(AND(L75=monitoramento!$C$18,M75=monitoramento!$D$18),monitoramento!$E$18,IF(AND(L75=monitoramento!$C$19,M75=monitoramento!$D$19),monitoramento!$E$19))))))))))))))))</f>
        <v>0</v>
      </c>
      <c r="O75" s="55"/>
      <c r="P75" s="55"/>
    </row>
    <row r="76" spans="8:16" ht="25.9" customHeight="1" thickBot="1" x14ac:dyDescent="0.25">
      <c r="H76" s="29">
        <f>AEP!BF81</f>
        <v>0</v>
      </c>
      <c r="I76" s="30">
        <f>AEP!BI81</f>
        <v>0</v>
      </c>
      <c r="J76" s="31">
        <f>AEP!BM81</f>
        <v>0</v>
      </c>
      <c r="K76" s="32" t="str">
        <f>IF(AND(I76=INCERTEZA!$B$3,J76=INCERTEZA!$C$3),INCERTEZA!$D$3,IF(AND(I76=INCERTEZA!$B$4,J76=INCERTEZA!$C$4),INCERTEZA!$D$4,IF(AND(I76=INCERTEZA!$B$5,J76=INCERTEZA!$C$5),INCERTEZA!$D$5,IF(AND(I76=INCERTEZA!$B$6,J76=INCERTEZA!$C$6),INCERTEZA!$D$6,IF(AND(I76=INCERTEZA!$B$7,J76=INCERTEZA!$C$7),INCERTEZA!$D$7,IF(AND(I76=INCERTEZA!$B$8,J76=INCERTEZA!$C$8),INCERTEZA!$D$8,IF(AND(I76=INCERTEZA!$B$9,J76=INCERTEZA!$C$9),INCERTEZA!$D$9,IF(AND(I76=INCERTEZA!$B$10,J76=INCERTEZA!$C$10),INCERTEZA!$D$10,IF(AND(I76=INCERTEZA!$B$11,J76=INCERTEZA!$C$11),INCERTEZA!$D$11,IF(AND(I76=INCERTEZA!$B$12,J76=INCERTEZA!$C$12),INCERTEZA!$D$12,IF(AND(I76=INCERTEZA!$B$13,J76=INCERTEZA!$C$13),INCERTEZA!$D$13,IF(AND(I76=INCERTEZA!$B$14,J76=INCERTEZA!$C$14),INCERTEZA!$D$14,IF(AND(I76=INCERTEZA!$B$15,J76=INCERTEZA!$C$15),INCERTEZA!$D$15,IF(AND(I76=INCERTEZA!$B$16,J76=INCERTEZA!$C$16),INCERTEZA!$D$16,IF(AND(I76=INCERTEZA!$B$17,J76=INCERTEZA!$C$17),INCERTEZA!$D$17,"-")))))))))))))))</f>
        <v>-</v>
      </c>
      <c r="L76" s="33">
        <f>AEP!CX81</f>
        <v>0</v>
      </c>
      <c r="M76" s="34">
        <f>AEP!CO81</f>
        <v>0</v>
      </c>
      <c r="N76" s="55" t="b">
        <f>IF(AND(L76=monitoramento!$C$4,M76=monitoramento!$D$4),monitoramento!$E$4,IF(AND(L76=monitoramento!$C$5,M76=monitoramento!$D$5),monitoramento!$E$5,IF(AND(L76=monitoramento!$C$6,M76=monitoramento!$D$6),monitoramento!$E$6,IF(AND(L76=monitoramento!$C$7,M76=monitoramento!$D$7),monitoramento!$E$7,IF(AND(L76=monitoramento!$C$8,M76=monitoramento!$D$8),monitoramento!$E$8,IF(AND(L76=monitoramento!$C$9,M76=monitoramento!$D$9),monitoramento!$E$9,IF(AND(L76=monitoramento!$C$10,M76=monitoramento!$D$10),monitoramento!$E$10,IF(AND(L76=monitoramento!$C$11,M76=monitoramento!$D$11),monitoramento!$E$11,IF(AND(L76=monitoramento!$C$12,M76=monitoramento!$D$12),monitoramento!$E$12,IF(AND(L76=monitoramento!$C$13,M76=monitoramento!$D$13),monitoramento!$E$13,IF(AND(L76=monitoramento!$C$14,M76=monitoramento!$D$14),monitoramento!$E$14,IF(AND(L76=monitoramento!$C$15,M76=monitoramento!$D$15),monitoramento!$E$15,IF(AND(L76=monitoramento!$C$16,M76=monitoramento!$D$16),monitoramento!$E$16,IF(AND(L76=monitoramento!$C$17,M76=monitoramento!$D$17),monitoramento!$E$17,IF(AND(L76=monitoramento!$C$18,M76=monitoramento!$D$18),monitoramento!$E$18,IF(AND(L76=monitoramento!$C$19,M76=monitoramento!$D$19),monitoramento!$E$19))))))))))))))))</f>
        <v>0</v>
      </c>
      <c r="O76" s="55"/>
      <c r="P76" s="55"/>
    </row>
    <row r="77" spans="8:16" ht="25.9" customHeight="1" thickBot="1" x14ac:dyDescent="0.25">
      <c r="H77" s="29">
        <f>AEP!BF82</f>
        <v>0</v>
      </c>
      <c r="I77" s="30">
        <f>AEP!BI82</f>
        <v>0</v>
      </c>
      <c r="J77" s="31">
        <f>AEP!BM82</f>
        <v>0</v>
      </c>
      <c r="K77" s="32" t="str">
        <f>IF(AND(I77=INCERTEZA!$B$3,J77=INCERTEZA!$C$3),INCERTEZA!$D$3,IF(AND(I77=INCERTEZA!$B$4,J77=INCERTEZA!$C$4),INCERTEZA!$D$4,IF(AND(I77=INCERTEZA!$B$5,J77=INCERTEZA!$C$5),INCERTEZA!$D$5,IF(AND(I77=INCERTEZA!$B$6,J77=INCERTEZA!$C$6),INCERTEZA!$D$6,IF(AND(I77=INCERTEZA!$B$7,J77=INCERTEZA!$C$7),INCERTEZA!$D$7,IF(AND(I77=INCERTEZA!$B$8,J77=INCERTEZA!$C$8),INCERTEZA!$D$8,IF(AND(I77=INCERTEZA!$B$9,J77=INCERTEZA!$C$9),INCERTEZA!$D$9,IF(AND(I77=INCERTEZA!$B$10,J77=INCERTEZA!$C$10),INCERTEZA!$D$10,IF(AND(I77=INCERTEZA!$B$11,J77=INCERTEZA!$C$11),INCERTEZA!$D$11,IF(AND(I77=INCERTEZA!$B$12,J77=INCERTEZA!$C$12),INCERTEZA!$D$12,IF(AND(I77=INCERTEZA!$B$13,J77=INCERTEZA!$C$13),INCERTEZA!$D$13,IF(AND(I77=INCERTEZA!$B$14,J77=INCERTEZA!$C$14),INCERTEZA!$D$14,IF(AND(I77=INCERTEZA!$B$15,J77=INCERTEZA!$C$15),INCERTEZA!$D$15,IF(AND(I77=INCERTEZA!$B$16,J77=INCERTEZA!$C$16),INCERTEZA!$D$16,IF(AND(I77=INCERTEZA!$B$17,J77=INCERTEZA!$C$17),INCERTEZA!$D$17,"-")))))))))))))))</f>
        <v>-</v>
      </c>
      <c r="L77" s="33">
        <f>AEP!CX82</f>
        <v>0</v>
      </c>
      <c r="M77" s="34">
        <f>AEP!CO82</f>
        <v>0</v>
      </c>
      <c r="N77" s="55" t="b">
        <f>IF(AND(L77=monitoramento!$C$4,M77=monitoramento!$D$4),monitoramento!$E$4,IF(AND(L77=monitoramento!$C$5,M77=monitoramento!$D$5),monitoramento!$E$5,IF(AND(L77=monitoramento!$C$6,M77=monitoramento!$D$6),monitoramento!$E$6,IF(AND(L77=monitoramento!$C$7,M77=monitoramento!$D$7),monitoramento!$E$7,IF(AND(L77=monitoramento!$C$8,M77=monitoramento!$D$8),monitoramento!$E$8,IF(AND(L77=monitoramento!$C$9,M77=monitoramento!$D$9),monitoramento!$E$9,IF(AND(L77=monitoramento!$C$10,M77=monitoramento!$D$10),monitoramento!$E$10,IF(AND(L77=monitoramento!$C$11,M77=monitoramento!$D$11),monitoramento!$E$11,IF(AND(L77=monitoramento!$C$12,M77=monitoramento!$D$12),monitoramento!$E$12,IF(AND(L77=monitoramento!$C$13,M77=monitoramento!$D$13),monitoramento!$E$13,IF(AND(L77=monitoramento!$C$14,M77=monitoramento!$D$14),monitoramento!$E$14,IF(AND(L77=monitoramento!$C$15,M77=monitoramento!$D$15),monitoramento!$E$15,IF(AND(L77=monitoramento!$C$16,M77=monitoramento!$D$16),monitoramento!$E$16,IF(AND(L77=monitoramento!$C$17,M77=monitoramento!$D$17),monitoramento!$E$17,IF(AND(L77=monitoramento!$C$18,M77=monitoramento!$D$18),monitoramento!$E$18,IF(AND(L77=monitoramento!$C$19,M77=monitoramento!$D$19),monitoramento!$E$19))))))))))))))))</f>
        <v>0</v>
      </c>
      <c r="O77" s="55"/>
      <c r="P77" s="55"/>
    </row>
    <row r="78" spans="8:16" ht="25.9" customHeight="1" thickBot="1" x14ac:dyDescent="0.25">
      <c r="H78" s="29">
        <f>AEP!BF83</f>
        <v>0</v>
      </c>
      <c r="I78" s="30">
        <f>AEP!BI83</f>
        <v>0</v>
      </c>
      <c r="J78" s="31">
        <f>AEP!BM83</f>
        <v>0</v>
      </c>
      <c r="K78" s="32" t="str">
        <f>IF(AND(I78=INCERTEZA!$B$3,J78=INCERTEZA!$C$3),INCERTEZA!$D$3,IF(AND(I78=INCERTEZA!$B$4,J78=INCERTEZA!$C$4),INCERTEZA!$D$4,IF(AND(I78=INCERTEZA!$B$5,J78=INCERTEZA!$C$5),INCERTEZA!$D$5,IF(AND(I78=INCERTEZA!$B$6,J78=INCERTEZA!$C$6),INCERTEZA!$D$6,IF(AND(I78=INCERTEZA!$B$7,J78=INCERTEZA!$C$7),INCERTEZA!$D$7,IF(AND(I78=INCERTEZA!$B$8,J78=INCERTEZA!$C$8),INCERTEZA!$D$8,IF(AND(I78=INCERTEZA!$B$9,J78=INCERTEZA!$C$9),INCERTEZA!$D$9,IF(AND(I78=INCERTEZA!$B$10,J78=INCERTEZA!$C$10),INCERTEZA!$D$10,IF(AND(I78=INCERTEZA!$B$11,J78=INCERTEZA!$C$11),INCERTEZA!$D$11,IF(AND(I78=INCERTEZA!$B$12,J78=INCERTEZA!$C$12),INCERTEZA!$D$12,IF(AND(I78=INCERTEZA!$B$13,J78=INCERTEZA!$C$13),INCERTEZA!$D$13,IF(AND(I78=INCERTEZA!$B$14,J78=INCERTEZA!$C$14),INCERTEZA!$D$14,IF(AND(I78=INCERTEZA!$B$15,J78=INCERTEZA!$C$15),INCERTEZA!$D$15,IF(AND(I78=INCERTEZA!$B$16,J78=INCERTEZA!$C$16),INCERTEZA!$D$16,IF(AND(I78=INCERTEZA!$B$17,J78=INCERTEZA!$C$17),INCERTEZA!$D$17,"-")))))))))))))))</f>
        <v>-</v>
      </c>
      <c r="L78" s="33">
        <f>AEP!CX83</f>
        <v>0</v>
      </c>
      <c r="M78" s="34">
        <f>AEP!CO83</f>
        <v>0</v>
      </c>
      <c r="N78" s="55" t="b">
        <f>IF(AND(L78=monitoramento!$C$4,M78=monitoramento!$D$4),monitoramento!$E$4,IF(AND(L78=monitoramento!$C$5,M78=monitoramento!$D$5),monitoramento!$E$5,IF(AND(L78=monitoramento!$C$6,M78=monitoramento!$D$6),monitoramento!$E$6,IF(AND(L78=monitoramento!$C$7,M78=monitoramento!$D$7),monitoramento!$E$7,IF(AND(L78=monitoramento!$C$8,M78=monitoramento!$D$8),monitoramento!$E$8,IF(AND(L78=monitoramento!$C$9,M78=monitoramento!$D$9),monitoramento!$E$9,IF(AND(L78=monitoramento!$C$10,M78=monitoramento!$D$10),monitoramento!$E$10,IF(AND(L78=monitoramento!$C$11,M78=monitoramento!$D$11),monitoramento!$E$11,IF(AND(L78=monitoramento!$C$12,M78=monitoramento!$D$12),monitoramento!$E$12,IF(AND(L78=monitoramento!$C$13,M78=monitoramento!$D$13),monitoramento!$E$13,IF(AND(L78=monitoramento!$C$14,M78=monitoramento!$D$14),monitoramento!$E$14,IF(AND(L78=monitoramento!$C$15,M78=monitoramento!$D$15),monitoramento!$E$15,IF(AND(L78=monitoramento!$C$16,M78=monitoramento!$D$16),monitoramento!$E$16,IF(AND(L78=monitoramento!$C$17,M78=monitoramento!$D$17),monitoramento!$E$17,IF(AND(L78=monitoramento!$C$18,M78=monitoramento!$D$18),monitoramento!$E$18,IF(AND(L78=monitoramento!$C$19,M78=monitoramento!$D$19),monitoramento!$E$19))))))))))))))))</f>
        <v>0</v>
      </c>
      <c r="O78" s="55"/>
      <c r="P78" s="55"/>
    </row>
    <row r="79" spans="8:16" ht="25.9" customHeight="1" thickBot="1" x14ac:dyDescent="0.25">
      <c r="H79" s="29">
        <f>AEP!BF84</f>
        <v>0</v>
      </c>
      <c r="I79" s="30">
        <f>AEP!BI84</f>
        <v>0</v>
      </c>
      <c r="J79" s="31">
        <f>AEP!BM84</f>
        <v>0</v>
      </c>
      <c r="K79" s="32" t="str">
        <f>IF(AND(I79=INCERTEZA!$B$3,J79=INCERTEZA!$C$3),INCERTEZA!$D$3,IF(AND(I79=INCERTEZA!$B$4,J79=INCERTEZA!$C$4),INCERTEZA!$D$4,IF(AND(I79=INCERTEZA!$B$5,J79=INCERTEZA!$C$5),INCERTEZA!$D$5,IF(AND(I79=INCERTEZA!$B$6,J79=INCERTEZA!$C$6),INCERTEZA!$D$6,IF(AND(I79=INCERTEZA!$B$7,J79=INCERTEZA!$C$7),INCERTEZA!$D$7,IF(AND(I79=INCERTEZA!$B$8,J79=INCERTEZA!$C$8),INCERTEZA!$D$8,IF(AND(I79=INCERTEZA!$B$9,J79=INCERTEZA!$C$9),INCERTEZA!$D$9,IF(AND(I79=INCERTEZA!$B$10,J79=INCERTEZA!$C$10),INCERTEZA!$D$10,IF(AND(I79=INCERTEZA!$B$11,J79=INCERTEZA!$C$11),INCERTEZA!$D$11,IF(AND(I79=INCERTEZA!$B$12,J79=INCERTEZA!$C$12),INCERTEZA!$D$12,IF(AND(I79=INCERTEZA!$B$13,J79=INCERTEZA!$C$13),INCERTEZA!$D$13,IF(AND(I79=INCERTEZA!$B$14,J79=INCERTEZA!$C$14),INCERTEZA!$D$14,IF(AND(I79=INCERTEZA!$B$15,J79=INCERTEZA!$C$15),INCERTEZA!$D$15,IF(AND(I79=INCERTEZA!$B$16,J79=INCERTEZA!$C$16),INCERTEZA!$D$16,IF(AND(I79=INCERTEZA!$B$17,J79=INCERTEZA!$C$17),INCERTEZA!$D$17,"-")))))))))))))))</f>
        <v>-</v>
      </c>
      <c r="L79" s="33">
        <f>AEP!CX84</f>
        <v>0</v>
      </c>
      <c r="M79" s="34">
        <f>AEP!CO84</f>
        <v>0</v>
      </c>
      <c r="N79" s="55" t="b">
        <f>IF(AND(L79=monitoramento!$C$4,M79=monitoramento!$D$4),monitoramento!$E$4,IF(AND(L79=monitoramento!$C$5,M79=monitoramento!$D$5),monitoramento!$E$5,IF(AND(L79=monitoramento!$C$6,M79=monitoramento!$D$6),monitoramento!$E$6,IF(AND(L79=monitoramento!$C$7,M79=monitoramento!$D$7),monitoramento!$E$7,IF(AND(L79=monitoramento!$C$8,M79=monitoramento!$D$8),monitoramento!$E$8,IF(AND(L79=monitoramento!$C$9,M79=monitoramento!$D$9),monitoramento!$E$9,IF(AND(L79=monitoramento!$C$10,M79=monitoramento!$D$10),monitoramento!$E$10,IF(AND(L79=monitoramento!$C$11,M79=monitoramento!$D$11),monitoramento!$E$11,IF(AND(L79=monitoramento!$C$12,M79=monitoramento!$D$12),monitoramento!$E$12,IF(AND(L79=monitoramento!$C$13,M79=monitoramento!$D$13),monitoramento!$E$13,IF(AND(L79=monitoramento!$C$14,M79=monitoramento!$D$14),monitoramento!$E$14,IF(AND(L79=monitoramento!$C$15,M79=monitoramento!$D$15),monitoramento!$E$15,IF(AND(L79=monitoramento!$C$16,M79=monitoramento!$D$16),monitoramento!$E$16,IF(AND(L79=monitoramento!$C$17,M79=monitoramento!$D$17),monitoramento!$E$17,IF(AND(L79=monitoramento!$C$18,M79=monitoramento!$D$18),monitoramento!$E$18,IF(AND(L79=monitoramento!$C$19,M79=monitoramento!$D$19),monitoramento!$E$19))))))))))))))))</f>
        <v>0</v>
      </c>
      <c r="O79" s="55"/>
      <c r="P79" s="55"/>
    </row>
    <row r="80" spans="8:16" ht="25.9" customHeight="1" thickBot="1" x14ac:dyDescent="0.25">
      <c r="H80" s="29">
        <f>AEP!BF85</f>
        <v>0</v>
      </c>
      <c r="I80" s="30">
        <f>AEP!BI85</f>
        <v>0</v>
      </c>
      <c r="J80" s="31">
        <f>AEP!BM85</f>
        <v>0</v>
      </c>
      <c r="K80" s="32" t="str">
        <f>IF(AND(I80=INCERTEZA!$B$3,J80=INCERTEZA!$C$3),INCERTEZA!$D$3,IF(AND(I80=INCERTEZA!$B$4,J80=INCERTEZA!$C$4),INCERTEZA!$D$4,IF(AND(I80=INCERTEZA!$B$5,J80=INCERTEZA!$C$5),INCERTEZA!$D$5,IF(AND(I80=INCERTEZA!$B$6,J80=INCERTEZA!$C$6),INCERTEZA!$D$6,IF(AND(I80=INCERTEZA!$B$7,J80=INCERTEZA!$C$7),INCERTEZA!$D$7,IF(AND(I80=INCERTEZA!$B$8,J80=INCERTEZA!$C$8),INCERTEZA!$D$8,IF(AND(I80=INCERTEZA!$B$9,J80=INCERTEZA!$C$9),INCERTEZA!$D$9,IF(AND(I80=INCERTEZA!$B$10,J80=INCERTEZA!$C$10),INCERTEZA!$D$10,IF(AND(I80=INCERTEZA!$B$11,J80=INCERTEZA!$C$11),INCERTEZA!$D$11,IF(AND(I80=INCERTEZA!$B$12,J80=INCERTEZA!$C$12),INCERTEZA!$D$12,IF(AND(I80=INCERTEZA!$B$13,J80=INCERTEZA!$C$13),INCERTEZA!$D$13,IF(AND(I80=INCERTEZA!$B$14,J80=INCERTEZA!$C$14),INCERTEZA!$D$14,IF(AND(I80=INCERTEZA!$B$15,J80=INCERTEZA!$C$15),INCERTEZA!$D$15,IF(AND(I80=INCERTEZA!$B$16,J80=INCERTEZA!$C$16),INCERTEZA!$D$16,IF(AND(I80=INCERTEZA!$B$17,J80=INCERTEZA!$C$17),INCERTEZA!$D$17,"-")))))))))))))))</f>
        <v>-</v>
      </c>
      <c r="L80" s="33">
        <f>AEP!CX85</f>
        <v>0</v>
      </c>
      <c r="M80" s="34">
        <f>AEP!CO85</f>
        <v>0</v>
      </c>
      <c r="N80" s="55" t="b">
        <f>IF(AND(L80=monitoramento!$C$4,M80=monitoramento!$D$4),monitoramento!$E$4,IF(AND(L80=monitoramento!$C$5,M80=monitoramento!$D$5),monitoramento!$E$5,IF(AND(L80=monitoramento!$C$6,M80=monitoramento!$D$6),monitoramento!$E$6,IF(AND(L80=monitoramento!$C$7,M80=monitoramento!$D$7),monitoramento!$E$7,IF(AND(L80=monitoramento!$C$8,M80=monitoramento!$D$8),monitoramento!$E$8,IF(AND(L80=monitoramento!$C$9,M80=monitoramento!$D$9),monitoramento!$E$9,IF(AND(L80=monitoramento!$C$10,M80=monitoramento!$D$10),monitoramento!$E$10,IF(AND(L80=monitoramento!$C$11,M80=monitoramento!$D$11),monitoramento!$E$11,IF(AND(L80=monitoramento!$C$12,M80=monitoramento!$D$12),monitoramento!$E$12,IF(AND(L80=monitoramento!$C$13,M80=monitoramento!$D$13),monitoramento!$E$13,IF(AND(L80=monitoramento!$C$14,M80=monitoramento!$D$14),monitoramento!$E$14,IF(AND(L80=monitoramento!$C$15,M80=monitoramento!$D$15),monitoramento!$E$15,IF(AND(L80=monitoramento!$C$16,M80=monitoramento!$D$16),monitoramento!$E$16,IF(AND(L80=monitoramento!$C$17,M80=monitoramento!$D$17),monitoramento!$E$17,IF(AND(L80=monitoramento!$C$18,M80=monitoramento!$D$18),monitoramento!$E$18,IF(AND(L80=monitoramento!$C$19,M80=monitoramento!$D$19),monitoramento!$E$19))))))))))))))))</f>
        <v>0</v>
      </c>
      <c r="O80" s="55"/>
      <c r="P80" s="55"/>
    </row>
    <row r="81" spans="8:16" ht="25.9" customHeight="1" thickBot="1" x14ac:dyDescent="0.25">
      <c r="H81" s="29">
        <f>AEP!BF86</f>
        <v>0</v>
      </c>
      <c r="I81" s="30">
        <f>AEP!BI86</f>
        <v>0</v>
      </c>
      <c r="J81" s="31">
        <f>AEP!BM86</f>
        <v>0</v>
      </c>
      <c r="K81" s="32" t="str">
        <f>IF(AND(I81=INCERTEZA!$B$3,J81=INCERTEZA!$C$3),INCERTEZA!$D$3,IF(AND(I81=INCERTEZA!$B$4,J81=INCERTEZA!$C$4),INCERTEZA!$D$4,IF(AND(I81=INCERTEZA!$B$5,J81=INCERTEZA!$C$5),INCERTEZA!$D$5,IF(AND(I81=INCERTEZA!$B$6,J81=INCERTEZA!$C$6),INCERTEZA!$D$6,IF(AND(I81=INCERTEZA!$B$7,J81=INCERTEZA!$C$7),INCERTEZA!$D$7,IF(AND(I81=INCERTEZA!$B$8,J81=INCERTEZA!$C$8),INCERTEZA!$D$8,IF(AND(I81=INCERTEZA!$B$9,J81=INCERTEZA!$C$9),INCERTEZA!$D$9,IF(AND(I81=INCERTEZA!$B$10,J81=INCERTEZA!$C$10),INCERTEZA!$D$10,IF(AND(I81=INCERTEZA!$B$11,J81=INCERTEZA!$C$11),INCERTEZA!$D$11,IF(AND(I81=INCERTEZA!$B$12,J81=INCERTEZA!$C$12),INCERTEZA!$D$12,IF(AND(I81=INCERTEZA!$B$13,J81=INCERTEZA!$C$13),INCERTEZA!$D$13,IF(AND(I81=INCERTEZA!$B$14,J81=INCERTEZA!$C$14),INCERTEZA!$D$14,IF(AND(I81=INCERTEZA!$B$15,J81=INCERTEZA!$C$15),INCERTEZA!$D$15,IF(AND(I81=INCERTEZA!$B$16,J81=INCERTEZA!$C$16),INCERTEZA!$D$16,IF(AND(I81=INCERTEZA!$B$17,J81=INCERTEZA!$C$17),INCERTEZA!$D$17,"-")))))))))))))))</f>
        <v>-</v>
      </c>
      <c r="L81" s="33">
        <f>AEP!CX86</f>
        <v>0</v>
      </c>
      <c r="M81" s="34">
        <f>AEP!CO86</f>
        <v>0</v>
      </c>
      <c r="N81" s="55" t="b">
        <f>IF(AND(L81=monitoramento!$C$4,M81=monitoramento!$D$4),monitoramento!$E$4,IF(AND(L81=monitoramento!$C$5,M81=monitoramento!$D$5),monitoramento!$E$5,IF(AND(L81=monitoramento!$C$6,M81=monitoramento!$D$6),monitoramento!$E$6,IF(AND(L81=monitoramento!$C$7,M81=monitoramento!$D$7),monitoramento!$E$7,IF(AND(L81=monitoramento!$C$8,M81=monitoramento!$D$8),monitoramento!$E$8,IF(AND(L81=monitoramento!$C$9,M81=monitoramento!$D$9),monitoramento!$E$9,IF(AND(L81=monitoramento!$C$10,M81=monitoramento!$D$10),monitoramento!$E$10,IF(AND(L81=monitoramento!$C$11,M81=monitoramento!$D$11),monitoramento!$E$11,IF(AND(L81=monitoramento!$C$12,M81=monitoramento!$D$12),monitoramento!$E$12,IF(AND(L81=monitoramento!$C$13,M81=monitoramento!$D$13),monitoramento!$E$13,IF(AND(L81=monitoramento!$C$14,M81=monitoramento!$D$14),monitoramento!$E$14,IF(AND(L81=monitoramento!$C$15,M81=monitoramento!$D$15),monitoramento!$E$15,IF(AND(L81=monitoramento!$C$16,M81=monitoramento!$D$16),monitoramento!$E$16,IF(AND(L81=monitoramento!$C$17,M81=monitoramento!$D$17),monitoramento!$E$17,IF(AND(L81=monitoramento!$C$18,M81=monitoramento!$D$18),monitoramento!$E$18,IF(AND(L81=monitoramento!$C$19,M81=monitoramento!$D$19),monitoramento!$E$19))))))))))))))))</f>
        <v>0</v>
      </c>
      <c r="O81" s="55"/>
      <c r="P81" s="55"/>
    </row>
    <row r="82" spans="8:16" ht="25.9" customHeight="1" thickBot="1" x14ac:dyDescent="0.25">
      <c r="H82" s="29">
        <f>AEP!BF87</f>
        <v>0</v>
      </c>
      <c r="I82" s="30">
        <f>AEP!BI87</f>
        <v>0</v>
      </c>
      <c r="J82" s="31">
        <f>AEP!BM87</f>
        <v>0</v>
      </c>
      <c r="K82" s="32" t="str">
        <f>IF(AND(I82=INCERTEZA!$B$3,J82=INCERTEZA!$C$3),INCERTEZA!$D$3,IF(AND(I82=INCERTEZA!$B$4,J82=INCERTEZA!$C$4),INCERTEZA!$D$4,IF(AND(I82=INCERTEZA!$B$5,J82=INCERTEZA!$C$5),INCERTEZA!$D$5,IF(AND(I82=INCERTEZA!$B$6,J82=INCERTEZA!$C$6),INCERTEZA!$D$6,IF(AND(I82=INCERTEZA!$B$7,J82=INCERTEZA!$C$7),INCERTEZA!$D$7,IF(AND(I82=INCERTEZA!$B$8,J82=INCERTEZA!$C$8),INCERTEZA!$D$8,IF(AND(I82=INCERTEZA!$B$9,J82=INCERTEZA!$C$9),INCERTEZA!$D$9,IF(AND(I82=INCERTEZA!$B$10,J82=INCERTEZA!$C$10),INCERTEZA!$D$10,IF(AND(I82=INCERTEZA!$B$11,J82=INCERTEZA!$C$11),INCERTEZA!$D$11,IF(AND(I82=INCERTEZA!$B$12,J82=INCERTEZA!$C$12),INCERTEZA!$D$12,IF(AND(I82=INCERTEZA!$B$13,J82=INCERTEZA!$C$13),INCERTEZA!$D$13,IF(AND(I82=INCERTEZA!$B$14,J82=INCERTEZA!$C$14),INCERTEZA!$D$14,IF(AND(I82=INCERTEZA!$B$15,J82=INCERTEZA!$C$15),INCERTEZA!$D$15,IF(AND(I82=INCERTEZA!$B$16,J82=INCERTEZA!$C$16),INCERTEZA!$D$16,IF(AND(I82=INCERTEZA!$B$17,J82=INCERTEZA!$C$17),INCERTEZA!$D$17,"-")))))))))))))))</f>
        <v>-</v>
      </c>
      <c r="L82" s="33">
        <f>AEP!CX87</f>
        <v>0</v>
      </c>
      <c r="M82" s="34">
        <f>AEP!CO87</f>
        <v>0</v>
      </c>
      <c r="N82" s="55" t="b">
        <f>IF(AND(L82=monitoramento!$C$4,M82=monitoramento!$D$4),monitoramento!$E$4,IF(AND(L82=monitoramento!$C$5,M82=monitoramento!$D$5),monitoramento!$E$5,IF(AND(L82=monitoramento!$C$6,M82=monitoramento!$D$6),monitoramento!$E$6,IF(AND(L82=monitoramento!$C$7,M82=monitoramento!$D$7),monitoramento!$E$7,IF(AND(L82=monitoramento!$C$8,M82=monitoramento!$D$8),monitoramento!$E$8,IF(AND(L82=monitoramento!$C$9,M82=monitoramento!$D$9),monitoramento!$E$9,IF(AND(L82=monitoramento!$C$10,M82=monitoramento!$D$10),monitoramento!$E$10,IF(AND(L82=monitoramento!$C$11,M82=monitoramento!$D$11),monitoramento!$E$11,IF(AND(L82=monitoramento!$C$12,M82=monitoramento!$D$12),monitoramento!$E$12,IF(AND(L82=monitoramento!$C$13,M82=monitoramento!$D$13),monitoramento!$E$13,IF(AND(L82=monitoramento!$C$14,M82=monitoramento!$D$14),monitoramento!$E$14,IF(AND(L82=monitoramento!$C$15,M82=monitoramento!$D$15),monitoramento!$E$15,IF(AND(L82=monitoramento!$C$16,M82=monitoramento!$D$16),monitoramento!$E$16,IF(AND(L82=monitoramento!$C$17,M82=monitoramento!$D$17),monitoramento!$E$17,IF(AND(L82=monitoramento!$C$18,M82=monitoramento!$D$18),monitoramento!$E$18,IF(AND(L82=monitoramento!$C$19,M82=monitoramento!$D$19),monitoramento!$E$19))))))))))))))))</f>
        <v>0</v>
      </c>
      <c r="O82" s="55"/>
      <c r="P82" s="55"/>
    </row>
    <row r="83" spans="8:16" ht="25.9" customHeight="1" thickBot="1" x14ac:dyDescent="0.25">
      <c r="H83" s="29">
        <f>AEP!BF88</f>
        <v>0</v>
      </c>
      <c r="I83" s="30">
        <f>AEP!BI88</f>
        <v>0</v>
      </c>
      <c r="J83" s="31">
        <f>AEP!BM88</f>
        <v>0</v>
      </c>
      <c r="K83" s="32" t="str">
        <f>IF(AND(I83=INCERTEZA!$B$3,J83=INCERTEZA!$C$3),INCERTEZA!$D$3,IF(AND(I83=INCERTEZA!$B$4,J83=INCERTEZA!$C$4),INCERTEZA!$D$4,IF(AND(I83=INCERTEZA!$B$5,J83=INCERTEZA!$C$5),INCERTEZA!$D$5,IF(AND(I83=INCERTEZA!$B$6,J83=INCERTEZA!$C$6),INCERTEZA!$D$6,IF(AND(I83=INCERTEZA!$B$7,J83=INCERTEZA!$C$7),INCERTEZA!$D$7,IF(AND(I83=INCERTEZA!$B$8,J83=INCERTEZA!$C$8),INCERTEZA!$D$8,IF(AND(I83=INCERTEZA!$B$9,J83=INCERTEZA!$C$9),INCERTEZA!$D$9,IF(AND(I83=INCERTEZA!$B$10,J83=INCERTEZA!$C$10),INCERTEZA!$D$10,IF(AND(I83=INCERTEZA!$B$11,J83=INCERTEZA!$C$11),INCERTEZA!$D$11,IF(AND(I83=INCERTEZA!$B$12,J83=INCERTEZA!$C$12),INCERTEZA!$D$12,IF(AND(I83=INCERTEZA!$B$13,J83=INCERTEZA!$C$13),INCERTEZA!$D$13,IF(AND(I83=INCERTEZA!$B$14,J83=INCERTEZA!$C$14),INCERTEZA!$D$14,IF(AND(I83=INCERTEZA!$B$15,J83=INCERTEZA!$C$15),INCERTEZA!$D$15,IF(AND(I83=INCERTEZA!$B$16,J83=INCERTEZA!$C$16),INCERTEZA!$D$16,IF(AND(I83=INCERTEZA!$B$17,J83=INCERTEZA!$C$17),INCERTEZA!$D$17,"-")))))))))))))))</f>
        <v>-</v>
      </c>
      <c r="L83" s="33">
        <f>AEP!CX88</f>
        <v>0</v>
      </c>
      <c r="M83" s="34">
        <f>AEP!CO88</f>
        <v>0</v>
      </c>
      <c r="N83" s="55" t="b">
        <f>IF(AND(L83=monitoramento!$C$4,M83=monitoramento!$D$4),monitoramento!$E$4,IF(AND(L83=monitoramento!$C$5,M83=monitoramento!$D$5),monitoramento!$E$5,IF(AND(L83=monitoramento!$C$6,M83=monitoramento!$D$6),monitoramento!$E$6,IF(AND(L83=monitoramento!$C$7,M83=monitoramento!$D$7),monitoramento!$E$7,IF(AND(L83=monitoramento!$C$8,M83=monitoramento!$D$8),monitoramento!$E$8,IF(AND(L83=monitoramento!$C$9,M83=monitoramento!$D$9),monitoramento!$E$9,IF(AND(L83=monitoramento!$C$10,M83=monitoramento!$D$10),monitoramento!$E$10,IF(AND(L83=monitoramento!$C$11,M83=monitoramento!$D$11),monitoramento!$E$11,IF(AND(L83=monitoramento!$C$12,M83=monitoramento!$D$12),monitoramento!$E$12,IF(AND(L83=monitoramento!$C$13,M83=monitoramento!$D$13),monitoramento!$E$13,IF(AND(L83=monitoramento!$C$14,M83=monitoramento!$D$14),monitoramento!$E$14,IF(AND(L83=monitoramento!$C$15,M83=monitoramento!$D$15),monitoramento!$E$15,IF(AND(L83=monitoramento!$C$16,M83=monitoramento!$D$16),monitoramento!$E$16,IF(AND(L83=monitoramento!$C$17,M83=monitoramento!$D$17),monitoramento!$E$17,IF(AND(L83=monitoramento!$C$18,M83=monitoramento!$D$18),monitoramento!$E$18,IF(AND(L83=monitoramento!$C$19,M83=monitoramento!$D$19),monitoramento!$E$19))))))))))))))))</f>
        <v>0</v>
      </c>
      <c r="O83" s="55"/>
      <c r="P83" s="55"/>
    </row>
    <row r="84" spans="8:16" ht="25.9" customHeight="1" thickBot="1" x14ac:dyDescent="0.25">
      <c r="H84" s="29">
        <f>AEP!BF89</f>
        <v>0</v>
      </c>
      <c r="I84" s="30">
        <f>AEP!BI89</f>
        <v>0</v>
      </c>
      <c r="J84" s="31">
        <f>AEP!BM89</f>
        <v>0</v>
      </c>
      <c r="K84" s="32" t="str">
        <f>IF(AND(I84=INCERTEZA!$B$3,J84=INCERTEZA!$C$3),INCERTEZA!$D$3,IF(AND(I84=INCERTEZA!$B$4,J84=INCERTEZA!$C$4),INCERTEZA!$D$4,IF(AND(I84=INCERTEZA!$B$5,J84=INCERTEZA!$C$5),INCERTEZA!$D$5,IF(AND(I84=INCERTEZA!$B$6,J84=INCERTEZA!$C$6),INCERTEZA!$D$6,IF(AND(I84=INCERTEZA!$B$7,J84=INCERTEZA!$C$7),INCERTEZA!$D$7,IF(AND(I84=INCERTEZA!$B$8,J84=INCERTEZA!$C$8),INCERTEZA!$D$8,IF(AND(I84=INCERTEZA!$B$9,J84=INCERTEZA!$C$9),INCERTEZA!$D$9,IF(AND(I84=INCERTEZA!$B$10,J84=INCERTEZA!$C$10),INCERTEZA!$D$10,IF(AND(I84=INCERTEZA!$B$11,J84=INCERTEZA!$C$11),INCERTEZA!$D$11,IF(AND(I84=INCERTEZA!$B$12,J84=INCERTEZA!$C$12),INCERTEZA!$D$12,IF(AND(I84=INCERTEZA!$B$13,J84=INCERTEZA!$C$13),INCERTEZA!$D$13,IF(AND(I84=INCERTEZA!$B$14,J84=INCERTEZA!$C$14),INCERTEZA!$D$14,IF(AND(I84=INCERTEZA!$B$15,J84=INCERTEZA!$C$15),INCERTEZA!$D$15,IF(AND(I84=INCERTEZA!$B$16,J84=INCERTEZA!$C$16),INCERTEZA!$D$16,IF(AND(I84=INCERTEZA!$B$17,J84=INCERTEZA!$C$17),INCERTEZA!$D$17,"-")))))))))))))))</f>
        <v>-</v>
      </c>
      <c r="L84" s="33">
        <f>AEP!CX89</f>
        <v>0</v>
      </c>
      <c r="M84" s="34">
        <f>AEP!CO89</f>
        <v>0</v>
      </c>
      <c r="N84" s="55" t="b">
        <f>IF(AND(L84=monitoramento!$C$4,M84=monitoramento!$D$4),monitoramento!$E$4,IF(AND(L84=monitoramento!$C$5,M84=monitoramento!$D$5),monitoramento!$E$5,IF(AND(L84=monitoramento!$C$6,M84=monitoramento!$D$6),monitoramento!$E$6,IF(AND(L84=monitoramento!$C$7,M84=monitoramento!$D$7),monitoramento!$E$7,IF(AND(L84=monitoramento!$C$8,M84=monitoramento!$D$8),monitoramento!$E$8,IF(AND(L84=monitoramento!$C$9,M84=monitoramento!$D$9),monitoramento!$E$9,IF(AND(L84=monitoramento!$C$10,M84=monitoramento!$D$10),monitoramento!$E$10,IF(AND(L84=monitoramento!$C$11,M84=monitoramento!$D$11),monitoramento!$E$11,IF(AND(L84=monitoramento!$C$12,M84=monitoramento!$D$12),monitoramento!$E$12,IF(AND(L84=monitoramento!$C$13,M84=monitoramento!$D$13),monitoramento!$E$13,IF(AND(L84=monitoramento!$C$14,M84=monitoramento!$D$14),monitoramento!$E$14,IF(AND(L84=monitoramento!$C$15,M84=monitoramento!$D$15),monitoramento!$E$15,IF(AND(L84=monitoramento!$C$16,M84=monitoramento!$D$16),monitoramento!$E$16,IF(AND(L84=monitoramento!$C$17,M84=monitoramento!$D$17),monitoramento!$E$17,IF(AND(L84=monitoramento!$C$18,M84=monitoramento!$D$18),monitoramento!$E$18,IF(AND(L84=monitoramento!$C$19,M84=monitoramento!$D$19),monitoramento!$E$19))))))))))))))))</f>
        <v>0</v>
      </c>
      <c r="O84" s="55"/>
      <c r="P84" s="55"/>
    </row>
    <row r="85" spans="8:16" ht="25.9" customHeight="1" thickBot="1" x14ac:dyDescent="0.25">
      <c r="H85" s="29">
        <f>AEP!BF90</f>
        <v>0</v>
      </c>
      <c r="I85" s="30">
        <f>AEP!BI90</f>
        <v>0</v>
      </c>
      <c r="J85" s="31">
        <f>AEP!BM90</f>
        <v>0</v>
      </c>
      <c r="K85" s="32" t="str">
        <f>IF(AND(I85=INCERTEZA!$B$3,J85=INCERTEZA!$C$3),INCERTEZA!$D$3,IF(AND(I85=INCERTEZA!$B$4,J85=INCERTEZA!$C$4),INCERTEZA!$D$4,IF(AND(I85=INCERTEZA!$B$5,J85=INCERTEZA!$C$5),INCERTEZA!$D$5,IF(AND(I85=INCERTEZA!$B$6,J85=INCERTEZA!$C$6),INCERTEZA!$D$6,IF(AND(I85=INCERTEZA!$B$7,J85=INCERTEZA!$C$7),INCERTEZA!$D$7,IF(AND(I85=INCERTEZA!$B$8,J85=INCERTEZA!$C$8),INCERTEZA!$D$8,IF(AND(I85=INCERTEZA!$B$9,J85=INCERTEZA!$C$9),INCERTEZA!$D$9,IF(AND(I85=INCERTEZA!$B$10,J85=INCERTEZA!$C$10),INCERTEZA!$D$10,IF(AND(I85=INCERTEZA!$B$11,J85=INCERTEZA!$C$11),INCERTEZA!$D$11,IF(AND(I85=INCERTEZA!$B$12,J85=INCERTEZA!$C$12),INCERTEZA!$D$12,IF(AND(I85=INCERTEZA!$B$13,J85=INCERTEZA!$C$13),INCERTEZA!$D$13,IF(AND(I85=INCERTEZA!$B$14,J85=INCERTEZA!$C$14),INCERTEZA!$D$14,IF(AND(I85=INCERTEZA!$B$15,J85=INCERTEZA!$C$15),INCERTEZA!$D$15,IF(AND(I85=INCERTEZA!$B$16,J85=INCERTEZA!$C$16),INCERTEZA!$D$16,IF(AND(I85=INCERTEZA!$B$17,J85=INCERTEZA!$C$17),INCERTEZA!$D$17,"-")))))))))))))))</f>
        <v>-</v>
      </c>
      <c r="L85" s="33">
        <f>AEP!CX90</f>
        <v>0</v>
      </c>
      <c r="M85" s="34">
        <f>AEP!CO90</f>
        <v>0</v>
      </c>
      <c r="N85" s="55" t="b">
        <f>IF(AND(L85=monitoramento!$C$4,M85=monitoramento!$D$4),monitoramento!$E$4,IF(AND(L85=monitoramento!$C$5,M85=monitoramento!$D$5),monitoramento!$E$5,IF(AND(L85=monitoramento!$C$6,M85=monitoramento!$D$6),monitoramento!$E$6,IF(AND(L85=monitoramento!$C$7,M85=monitoramento!$D$7),monitoramento!$E$7,IF(AND(L85=monitoramento!$C$8,M85=monitoramento!$D$8),monitoramento!$E$8,IF(AND(L85=monitoramento!$C$9,M85=monitoramento!$D$9),monitoramento!$E$9,IF(AND(L85=monitoramento!$C$10,M85=monitoramento!$D$10),monitoramento!$E$10,IF(AND(L85=monitoramento!$C$11,M85=monitoramento!$D$11),monitoramento!$E$11,IF(AND(L85=monitoramento!$C$12,M85=monitoramento!$D$12),monitoramento!$E$12,IF(AND(L85=monitoramento!$C$13,M85=monitoramento!$D$13),monitoramento!$E$13,IF(AND(L85=monitoramento!$C$14,M85=monitoramento!$D$14),monitoramento!$E$14,IF(AND(L85=monitoramento!$C$15,M85=monitoramento!$D$15),monitoramento!$E$15,IF(AND(L85=monitoramento!$C$16,M85=monitoramento!$D$16),monitoramento!$E$16,IF(AND(L85=monitoramento!$C$17,M85=monitoramento!$D$17),monitoramento!$E$17,IF(AND(L85=monitoramento!$C$18,M85=monitoramento!$D$18),monitoramento!$E$18,IF(AND(L85=monitoramento!$C$19,M85=monitoramento!$D$19),monitoramento!$E$19))))))))))))))))</f>
        <v>0</v>
      </c>
      <c r="O85" s="55"/>
      <c r="P85" s="55"/>
    </row>
    <row r="86" spans="8:16" ht="25.9" customHeight="1" thickBot="1" x14ac:dyDescent="0.25">
      <c r="H86" s="29">
        <f>AEP!BF91</f>
        <v>0</v>
      </c>
      <c r="I86" s="30">
        <f>AEP!BI91</f>
        <v>0</v>
      </c>
      <c r="J86" s="31">
        <f>AEP!BM91</f>
        <v>0</v>
      </c>
      <c r="K86" s="32" t="str">
        <f>IF(AND(I86=INCERTEZA!$B$3,J86=INCERTEZA!$C$3),INCERTEZA!$D$3,IF(AND(I86=INCERTEZA!$B$4,J86=INCERTEZA!$C$4),INCERTEZA!$D$4,IF(AND(I86=INCERTEZA!$B$5,J86=INCERTEZA!$C$5),INCERTEZA!$D$5,IF(AND(I86=INCERTEZA!$B$6,J86=INCERTEZA!$C$6),INCERTEZA!$D$6,IF(AND(I86=INCERTEZA!$B$7,J86=INCERTEZA!$C$7),INCERTEZA!$D$7,IF(AND(I86=INCERTEZA!$B$8,J86=INCERTEZA!$C$8),INCERTEZA!$D$8,IF(AND(I86=INCERTEZA!$B$9,J86=INCERTEZA!$C$9),INCERTEZA!$D$9,IF(AND(I86=INCERTEZA!$B$10,J86=INCERTEZA!$C$10),INCERTEZA!$D$10,IF(AND(I86=INCERTEZA!$B$11,J86=INCERTEZA!$C$11),INCERTEZA!$D$11,IF(AND(I86=INCERTEZA!$B$12,J86=INCERTEZA!$C$12),INCERTEZA!$D$12,IF(AND(I86=INCERTEZA!$B$13,J86=INCERTEZA!$C$13),INCERTEZA!$D$13,IF(AND(I86=INCERTEZA!$B$14,J86=INCERTEZA!$C$14),INCERTEZA!$D$14,IF(AND(I86=INCERTEZA!$B$15,J86=INCERTEZA!$C$15),INCERTEZA!$D$15,IF(AND(I86=INCERTEZA!$B$16,J86=INCERTEZA!$C$16),INCERTEZA!$D$16,IF(AND(I86=INCERTEZA!$B$17,J86=INCERTEZA!$C$17),INCERTEZA!$D$17,"-")))))))))))))))</f>
        <v>-</v>
      </c>
      <c r="L86" s="33">
        <f>AEP!CX91</f>
        <v>0</v>
      </c>
      <c r="M86" s="34">
        <f>AEP!CO91</f>
        <v>0</v>
      </c>
      <c r="N86" s="55" t="b">
        <f>IF(AND(L86=monitoramento!$C$4,M86=monitoramento!$D$4),monitoramento!$E$4,IF(AND(L86=monitoramento!$C$5,M86=monitoramento!$D$5),monitoramento!$E$5,IF(AND(L86=monitoramento!$C$6,M86=monitoramento!$D$6),monitoramento!$E$6,IF(AND(L86=monitoramento!$C$7,M86=monitoramento!$D$7),monitoramento!$E$7,IF(AND(L86=monitoramento!$C$8,M86=monitoramento!$D$8),monitoramento!$E$8,IF(AND(L86=monitoramento!$C$9,M86=monitoramento!$D$9),monitoramento!$E$9,IF(AND(L86=monitoramento!$C$10,M86=monitoramento!$D$10),monitoramento!$E$10,IF(AND(L86=monitoramento!$C$11,M86=monitoramento!$D$11),monitoramento!$E$11,IF(AND(L86=monitoramento!$C$12,M86=monitoramento!$D$12),monitoramento!$E$12,IF(AND(L86=monitoramento!$C$13,M86=monitoramento!$D$13),monitoramento!$E$13,IF(AND(L86=monitoramento!$C$14,M86=monitoramento!$D$14),monitoramento!$E$14,IF(AND(L86=monitoramento!$C$15,M86=monitoramento!$D$15),monitoramento!$E$15,IF(AND(L86=monitoramento!$C$16,M86=monitoramento!$D$16),monitoramento!$E$16,IF(AND(L86=monitoramento!$C$17,M86=monitoramento!$D$17),monitoramento!$E$17,IF(AND(L86=monitoramento!$C$18,M86=monitoramento!$D$18),monitoramento!$E$18,IF(AND(L86=monitoramento!$C$19,M86=monitoramento!$D$19),monitoramento!$E$19))))))))))))))))</f>
        <v>0</v>
      </c>
      <c r="O86" s="55"/>
      <c r="P86" s="55"/>
    </row>
    <row r="87" spans="8:16" ht="25.9" customHeight="1" thickBot="1" x14ac:dyDescent="0.25">
      <c r="H87" s="29">
        <f>AEP!BF92</f>
        <v>0</v>
      </c>
      <c r="I87" s="30">
        <f>AEP!BI92</f>
        <v>0</v>
      </c>
      <c r="J87" s="31">
        <f>AEP!BM92</f>
        <v>0</v>
      </c>
      <c r="K87" s="32" t="str">
        <f>IF(AND(I87=INCERTEZA!$B$3,J87=INCERTEZA!$C$3),INCERTEZA!$D$3,IF(AND(I87=INCERTEZA!$B$4,J87=INCERTEZA!$C$4),INCERTEZA!$D$4,IF(AND(I87=INCERTEZA!$B$5,J87=INCERTEZA!$C$5),INCERTEZA!$D$5,IF(AND(I87=INCERTEZA!$B$6,J87=INCERTEZA!$C$6),INCERTEZA!$D$6,IF(AND(I87=INCERTEZA!$B$7,J87=INCERTEZA!$C$7),INCERTEZA!$D$7,IF(AND(I87=INCERTEZA!$B$8,J87=INCERTEZA!$C$8),INCERTEZA!$D$8,IF(AND(I87=INCERTEZA!$B$9,J87=INCERTEZA!$C$9),INCERTEZA!$D$9,IF(AND(I87=INCERTEZA!$B$10,J87=INCERTEZA!$C$10),INCERTEZA!$D$10,IF(AND(I87=INCERTEZA!$B$11,J87=INCERTEZA!$C$11),INCERTEZA!$D$11,IF(AND(I87=INCERTEZA!$B$12,J87=INCERTEZA!$C$12),INCERTEZA!$D$12,IF(AND(I87=INCERTEZA!$B$13,J87=INCERTEZA!$C$13),INCERTEZA!$D$13,IF(AND(I87=INCERTEZA!$B$14,J87=INCERTEZA!$C$14),INCERTEZA!$D$14,IF(AND(I87=INCERTEZA!$B$15,J87=INCERTEZA!$C$15),INCERTEZA!$D$15,IF(AND(I87=INCERTEZA!$B$16,J87=INCERTEZA!$C$16),INCERTEZA!$D$16,IF(AND(I87=INCERTEZA!$B$17,J87=INCERTEZA!$C$17),INCERTEZA!$D$17,"-")))))))))))))))</f>
        <v>-</v>
      </c>
      <c r="L87" s="33">
        <f>AEP!CX92</f>
        <v>0</v>
      </c>
      <c r="M87" s="34">
        <f>AEP!CO92</f>
        <v>0</v>
      </c>
      <c r="N87" s="55" t="b">
        <f>IF(AND(L87=monitoramento!$C$4,M87=monitoramento!$D$4),monitoramento!$E$4,IF(AND(L87=monitoramento!$C$5,M87=monitoramento!$D$5),monitoramento!$E$5,IF(AND(L87=monitoramento!$C$6,M87=monitoramento!$D$6),monitoramento!$E$6,IF(AND(L87=monitoramento!$C$7,M87=monitoramento!$D$7),monitoramento!$E$7,IF(AND(L87=monitoramento!$C$8,M87=monitoramento!$D$8),monitoramento!$E$8,IF(AND(L87=monitoramento!$C$9,M87=monitoramento!$D$9),monitoramento!$E$9,IF(AND(L87=monitoramento!$C$10,M87=monitoramento!$D$10),monitoramento!$E$10,IF(AND(L87=monitoramento!$C$11,M87=monitoramento!$D$11),monitoramento!$E$11,IF(AND(L87=monitoramento!$C$12,M87=monitoramento!$D$12),monitoramento!$E$12,IF(AND(L87=monitoramento!$C$13,M87=monitoramento!$D$13),monitoramento!$E$13,IF(AND(L87=monitoramento!$C$14,M87=monitoramento!$D$14),monitoramento!$E$14,IF(AND(L87=monitoramento!$C$15,M87=monitoramento!$D$15),monitoramento!$E$15,IF(AND(L87=monitoramento!$C$16,M87=monitoramento!$D$16),monitoramento!$E$16,IF(AND(L87=monitoramento!$C$17,M87=monitoramento!$D$17),monitoramento!$E$17,IF(AND(L87=monitoramento!$C$18,M87=monitoramento!$D$18),monitoramento!$E$18,IF(AND(L87=monitoramento!$C$19,M87=monitoramento!$D$19),monitoramento!$E$19))))))))))))))))</f>
        <v>0</v>
      </c>
      <c r="O87" s="55"/>
      <c r="P87" s="55"/>
    </row>
    <row r="88" spans="8:16" ht="25.9" customHeight="1" thickBot="1" x14ac:dyDescent="0.25">
      <c r="H88" s="29">
        <f>AEP!BF93</f>
        <v>0</v>
      </c>
      <c r="I88" s="30">
        <f>AEP!BI93</f>
        <v>0</v>
      </c>
      <c r="J88" s="31">
        <f>AEP!BM93</f>
        <v>0</v>
      </c>
      <c r="K88" s="32" t="str">
        <f>IF(AND(I88=INCERTEZA!$B$3,J88=INCERTEZA!$C$3),INCERTEZA!$D$3,IF(AND(I88=INCERTEZA!$B$4,J88=INCERTEZA!$C$4),INCERTEZA!$D$4,IF(AND(I88=INCERTEZA!$B$5,J88=INCERTEZA!$C$5),INCERTEZA!$D$5,IF(AND(I88=INCERTEZA!$B$6,J88=INCERTEZA!$C$6),INCERTEZA!$D$6,IF(AND(I88=INCERTEZA!$B$7,J88=INCERTEZA!$C$7),INCERTEZA!$D$7,IF(AND(I88=INCERTEZA!$B$8,J88=INCERTEZA!$C$8),INCERTEZA!$D$8,IF(AND(I88=INCERTEZA!$B$9,J88=INCERTEZA!$C$9),INCERTEZA!$D$9,IF(AND(I88=INCERTEZA!$B$10,J88=INCERTEZA!$C$10),INCERTEZA!$D$10,IF(AND(I88=INCERTEZA!$B$11,J88=INCERTEZA!$C$11),INCERTEZA!$D$11,IF(AND(I88=INCERTEZA!$B$12,J88=INCERTEZA!$C$12),INCERTEZA!$D$12,IF(AND(I88=INCERTEZA!$B$13,J88=INCERTEZA!$C$13),INCERTEZA!$D$13,IF(AND(I88=INCERTEZA!$B$14,J88=INCERTEZA!$C$14),INCERTEZA!$D$14,IF(AND(I88=INCERTEZA!$B$15,J88=INCERTEZA!$C$15),INCERTEZA!$D$15,IF(AND(I88=INCERTEZA!$B$16,J88=INCERTEZA!$C$16),INCERTEZA!$D$16,IF(AND(I88=INCERTEZA!$B$17,J88=INCERTEZA!$C$17),INCERTEZA!$D$17,"-")))))))))))))))</f>
        <v>-</v>
      </c>
      <c r="L88" s="33">
        <f>AEP!CX93</f>
        <v>0</v>
      </c>
      <c r="M88" s="34">
        <f>AEP!CO93</f>
        <v>0</v>
      </c>
      <c r="N88" s="55" t="b">
        <f>IF(AND(L88=monitoramento!$C$4,M88=monitoramento!$D$4),monitoramento!$E$4,IF(AND(L88=monitoramento!$C$5,M88=monitoramento!$D$5),monitoramento!$E$5,IF(AND(L88=monitoramento!$C$6,M88=monitoramento!$D$6),monitoramento!$E$6,IF(AND(L88=monitoramento!$C$7,M88=monitoramento!$D$7),monitoramento!$E$7,IF(AND(L88=monitoramento!$C$8,M88=monitoramento!$D$8),monitoramento!$E$8,IF(AND(L88=monitoramento!$C$9,M88=monitoramento!$D$9),monitoramento!$E$9,IF(AND(L88=monitoramento!$C$10,M88=monitoramento!$D$10),monitoramento!$E$10,IF(AND(L88=monitoramento!$C$11,M88=monitoramento!$D$11),monitoramento!$E$11,IF(AND(L88=monitoramento!$C$12,M88=monitoramento!$D$12),monitoramento!$E$12,IF(AND(L88=monitoramento!$C$13,M88=monitoramento!$D$13),monitoramento!$E$13,IF(AND(L88=monitoramento!$C$14,M88=monitoramento!$D$14),monitoramento!$E$14,IF(AND(L88=monitoramento!$C$15,M88=monitoramento!$D$15),monitoramento!$E$15,IF(AND(L88=monitoramento!$C$16,M88=monitoramento!$D$16),monitoramento!$E$16,IF(AND(L88=monitoramento!$C$17,M88=monitoramento!$D$17),monitoramento!$E$17,IF(AND(L88=monitoramento!$C$18,M88=monitoramento!$D$18),monitoramento!$E$18,IF(AND(L88=monitoramento!$C$19,M88=monitoramento!$D$19),monitoramento!$E$19))))))))))))))))</f>
        <v>0</v>
      </c>
      <c r="O88" s="55"/>
      <c r="P88" s="55"/>
    </row>
    <row r="89" spans="8:16" ht="25.9" customHeight="1" thickBot="1" x14ac:dyDescent="0.25">
      <c r="H89" s="29">
        <f>AEP!BF94</f>
        <v>0</v>
      </c>
      <c r="I89" s="30">
        <f>AEP!BI94</f>
        <v>0</v>
      </c>
      <c r="J89" s="31">
        <f>AEP!BM94</f>
        <v>0</v>
      </c>
      <c r="K89" s="32" t="str">
        <f>IF(AND(I89=INCERTEZA!$B$3,J89=INCERTEZA!$C$3),INCERTEZA!$D$3,IF(AND(I89=INCERTEZA!$B$4,J89=INCERTEZA!$C$4),INCERTEZA!$D$4,IF(AND(I89=INCERTEZA!$B$5,J89=INCERTEZA!$C$5),INCERTEZA!$D$5,IF(AND(I89=INCERTEZA!$B$6,J89=INCERTEZA!$C$6),INCERTEZA!$D$6,IF(AND(I89=INCERTEZA!$B$7,J89=INCERTEZA!$C$7),INCERTEZA!$D$7,IF(AND(I89=INCERTEZA!$B$8,J89=INCERTEZA!$C$8),INCERTEZA!$D$8,IF(AND(I89=INCERTEZA!$B$9,J89=INCERTEZA!$C$9),INCERTEZA!$D$9,IF(AND(I89=INCERTEZA!$B$10,J89=INCERTEZA!$C$10),INCERTEZA!$D$10,IF(AND(I89=INCERTEZA!$B$11,J89=INCERTEZA!$C$11),INCERTEZA!$D$11,IF(AND(I89=INCERTEZA!$B$12,J89=INCERTEZA!$C$12),INCERTEZA!$D$12,IF(AND(I89=INCERTEZA!$B$13,J89=INCERTEZA!$C$13),INCERTEZA!$D$13,IF(AND(I89=INCERTEZA!$B$14,J89=INCERTEZA!$C$14),INCERTEZA!$D$14,IF(AND(I89=INCERTEZA!$B$15,J89=INCERTEZA!$C$15),INCERTEZA!$D$15,IF(AND(I89=INCERTEZA!$B$16,J89=INCERTEZA!$C$16),INCERTEZA!$D$16,IF(AND(I89=INCERTEZA!$B$17,J89=INCERTEZA!$C$17),INCERTEZA!$D$17,"-")))))))))))))))</f>
        <v>-</v>
      </c>
      <c r="L89" s="33">
        <f>AEP!CX94</f>
        <v>0</v>
      </c>
      <c r="M89" s="34">
        <f>AEP!CO94</f>
        <v>0</v>
      </c>
      <c r="N89" s="55" t="b">
        <f>IF(AND(L89=monitoramento!$C$4,M89=monitoramento!$D$4),monitoramento!$E$4,IF(AND(L89=monitoramento!$C$5,M89=monitoramento!$D$5),monitoramento!$E$5,IF(AND(L89=monitoramento!$C$6,M89=monitoramento!$D$6),monitoramento!$E$6,IF(AND(L89=monitoramento!$C$7,M89=monitoramento!$D$7),monitoramento!$E$7,IF(AND(L89=monitoramento!$C$8,M89=monitoramento!$D$8),monitoramento!$E$8,IF(AND(L89=monitoramento!$C$9,M89=monitoramento!$D$9),monitoramento!$E$9,IF(AND(L89=monitoramento!$C$10,M89=monitoramento!$D$10),monitoramento!$E$10,IF(AND(L89=monitoramento!$C$11,M89=monitoramento!$D$11),monitoramento!$E$11,IF(AND(L89=monitoramento!$C$12,M89=monitoramento!$D$12),monitoramento!$E$12,IF(AND(L89=monitoramento!$C$13,M89=monitoramento!$D$13),monitoramento!$E$13,IF(AND(L89=monitoramento!$C$14,M89=monitoramento!$D$14),monitoramento!$E$14,IF(AND(L89=monitoramento!$C$15,M89=monitoramento!$D$15),monitoramento!$E$15,IF(AND(L89=monitoramento!$C$16,M89=monitoramento!$D$16),monitoramento!$E$16,IF(AND(L89=monitoramento!$C$17,M89=monitoramento!$D$17),monitoramento!$E$17,IF(AND(L89=monitoramento!$C$18,M89=monitoramento!$D$18),monitoramento!$E$18,IF(AND(L89=monitoramento!$C$19,M89=monitoramento!$D$19),monitoramento!$E$19))))))))))))))))</f>
        <v>0</v>
      </c>
      <c r="O89" s="55"/>
      <c r="P89" s="55"/>
    </row>
    <row r="90" spans="8:16" ht="25.9" customHeight="1" thickBot="1" x14ac:dyDescent="0.25">
      <c r="H90" s="29">
        <f>AEP!BF95</f>
        <v>0</v>
      </c>
      <c r="I90" s="30">
        <f>AEP!BI95</f>
        <v>0</v>
      </c>
      <c r="J90" s="31">
        <f>AEP!BM95</f>
        <v>0</v>
      </c>
      <c r="K90" s="32" t="str">
        <f>IF(AND(I90=INCERTEZA!$B$3,J90=INCERTEZA!$C$3),INCERTEZA!$D$3,IF(AND(I90=INCERTEZA!$B$4,J90=INCERTEZA!$C$4),INCERTEZA!$D$4,IF(AND(I90=INCERTEZA!$B$5,J90=INCERTEZA!$C$5),INCERTEZA!$D$5,IF(AND(I90=INCERTEZA!$B$6,J90=INCERTEZA!$C$6),INCERTEZA!$D$6,IF(AND(I90=INCERTEZA!$B$7,J90=INCERTEZA!$C$7),INCERTEZA!$D$7,IF(AND(I90=INCERTEZA!$B$8,J90=INCERTEZA!$C$8),INCERTEZA!$D$8,IF(AND(I90=INCERTEZA!$B$9,J90=INCERTEZA!$C$9),INCERTEZA!$D$9,IF(AND(I90=INCERTEZA!$B$10,J90=INCERTEZA!$C$10),INCERTEZA!$D$10,IF(AND(I90=INCERTEZA!$B$11,J90=INCERTEZA!$C$11),INCERTEZA!$D$11,IF(AND(I90=INCERTEZA!$B$12,J90=INCERTEZA!$C$12),INCERTEZA!$D$12,IF(AND(I90=INCERTEZA!$B$13,J90=INCERTEZA!$C$13),INCERTEZA!$D$13,IF(AND(I90=INCERTEZA!$B$14,J90=INCERTEZA!$C$14),INCERTEZA!$D$14,IF(AND(I90=INCERTEZA!$B$15,J90=INCERTEZA!$C$15),INCERTEZA!$D$15,IF(AND(I90=INCERTEZA!$B$16,J90=INCERTEZA!$C$16),INCERTEZA!$D$16,IF(AND(I90=INCERTEZA!$B$17,J90=INCERTEZA!$C$17),INCERTEZA!$D$17,"-")))))))))))))))</f>
        <v>-</v>
      </c>
      <c r="L90" s="33">
        <f>AEP!CX95</f>
        <v>0</v>
      </c>
      <c r="M90" s="34">
        <f>AEP!CO95</f>
        <v>0</v>
      </c>
      <c r="N90" s="55" t="b">
        <f>IF(AND(L90=monitoramento!$C$4,M90=monitoramento!$D$4),monitoramento!$E$4,IF(AND(L90=monitoramento!$C$5,M90=monitoramento!$D$5),monitoramento!$E$5,IF(AND(L90=monitoramento!$C$6,M90=monitoramento!$D$6),monitoramento!$E$6,IF(AND(L90=monitoramento!$C$7,M90=monitoramento!$D$7),monitoramento!$E$7,IF(AND(L90=monitoramento!$C$8,M90=monitoramento!$D$8),monitoramento!$E$8,IF(AND(L90=monitoramento!$C$9,M90=monitoramento!$D$9),monitoramento!$E$9,IF(AND(L90=monitoramento!$C$10,M90=monitoramento!$D$10),monitoramento!$E$10,IF(AND(L90=monitoramento!$C$11,M90=monitoramento!$D$11),monitoramento!$E$11,IF(AND(L90=monitoramento!$C$12,M90=monitoramento!$D$12),monitoramento!$E$12,IF(AND(L90=monitoramento!$C$13,M90=monitoramento!$D$13),monitoramento!$E$13,IF(AND(L90=monitoramento!$C$14,M90=monitoramento!$D$14),monitoramento!$E$14,IF(AND(L90=monitoramento!$C$15,M90=monitoramento!$D$15),monitoramento!$E$15,IF(AND(L90=monitoramento!$C$16,M90=monitoramento!$D$16),monitoramento!$E$16,IF(AND(L90=monitoramento!$C$17,M90=monitoramento!$D$17),monitoramento!$E$17,IF(AND(L90=monitoramento!$C$18,M90=monitoramento!$D$18),monitoramento!$E$18,IF(AND(L90=monitoramento!$C$19,M90=monitoramento!$D$19),monitoramento!$E$19))))))))))))))))</f>
        <v>0</v>
      </c>
      <c r="O90" s="55"/>
      <c r="P90" s="55"/>
    </row>
    <row r="91" spans="8:16" ht="25.9" customHeight="1" thickBot="1" x14ac:dyDescent="0.25">
      <c r="H91" s="29">
        <f>AEP!BF96</f>
        <v>0</v>
      </c>
      <c r="I91" s="30">
        <f>AEP!BI96</f>
        <v>0</v>
      </c>
      <c r="J91" s="31">
        <f>AEP!BM96</f>
        <v>0</v>
      </c>
      <c r="K91" s="32" t="str">
        <f>IF(AND(I91=INCERTEZA!$B$3,J91=INCERTEZA!$C$3),INCERTEZA!$D$3,IF(AND(I91=INCERTEZA!$B$4,J91=INCERTEZA!$C$4),INCERTEZA!$D$4,IF(AND(I91=INCERTEZA!$B$5,J91=INCERTEZA!$C$5),INCERTEZA!$D$5,IF(AND(I91=INCERTEZA!$B$6,J91=INCERTEZA!$C$6),INCERTEZA!$D$6,IF(AND(I91=INCERTEZA!$B$7,J91=INCERTEZA!$C$7),INCERTEZA!$D$7,IF(AND(I91=INCERTEZA!$B$8,J91=INCERTEZA!$C$8),INCERTEZA!$D$8,IF(AND(I91=INCERTEZA!$B$9,J91=INCERTEZA!$C$9),INCERTEZA!$D$9,IF(AND(I91=INCERTEZA!$B$10,J91=INCERTEZA!$C$10),INCERTEZA!$D$10,IF(AND(I91=INCERTEZA!$B$11,J91=INCERTEZA!$C$11),INCERTEZA!$D$11,IF(AND(I91=INCERTEZA!$B$12,J91=INCERTEZA!$C$12),INCERTEZA!$D$12,IF(AND(I91=INCERTEZA!$B$13,J91=INCERTEZA!$C$13),INCERTEZA!$D$13,IF(AND(I91=INCERTEZA!$B$14,J91=INCERTEZA!$C$14),INCERTEZA!$D$14,IF(AND(I91=INCERTEZA!$B$15,J91=INCERTEZA!$C$15),INCERTEZA!$D$15,IF(AND(I91=INCERTEZA!$B$16,J91=INCERTEZA!$C$16),INCERTEZA!$D$16,IF(AND(I91=INCERTEZA!$B$17,J91=INCERTEZA!$C$17),INCERTEZA!$D$17,"-")))))))))))))))</f>
        <v>-</v>
      </c>
      <c r="L91" s="33">
        <f>AEP!CX96</f>
        <v>0</v>
      </c>
      <c r="M91" s="34">
        <f>AEP!CO96</f>
        <v>0</v>
      </c>
      <c r="N91" s="55" t="b">
        <f>IF(AND(L91=monitoramento!$C$4,M91=monitoramento!$D$4),monitoramento!$E$4,IF(AND(L91=monitoramento!$C$5,M91=monitoramento!$D$5),monitoramento!$E$5,IF(AND(L91=monitoramento!$C$6,M91=monitoramento!$D$6),monitoramento!$E$6,IF(AND(L91=monitoramento!$C$7,M91=monitoramento!$D$7),monitoramento!$E$7,IF(AND(L91=monitoramento!$C$8,M91=monitoramento!$D$8),monitoramento!$E$8,IF(AND(L91=monitoramento!$C$9,M91=monitoramento!$D$9),monitoramento!$E$9,IF(AND(L91=monitoramento!$C$10,M91=monitoramento!$D$10),monitoramento!$E$10,IF(AND(L91=monitoramento!$C$11,M91=monitoramento!$D$11),monitoramento!$E$11,IF(AND(L91=monitoramento!$C$12,M91=monitoramento!$D$12),monitoramento!$E$12,IF(AND(L91=monitoramento!$C$13,M91=monitoramento!$D$13),monitoramento!$E$13,IF(AND(L91=monitoramento!$C$14,M91=monitoramento!$D$14),monitoramento!$E$14,IF(AND(L91=monitoramento!$C$15,M91=monitoramento!$D$15),monitoramento!$E$15,IF(AND(L91=monitoramento!$C$16,M91=monitoramento!$D$16),monitoramento!$E$16,IF(AND(L91=monitoramento!$C$17,M91=monitoramento!$D$17),monitoramento!$E$17,IF(AND(L91=monitoramento!$C$18,M91=monitoramento!$D$18),monitoramento!$E$18,IF(AND(L91=monitoramento!$C$19,M91=monitoramento!$D$19),monitoramento!$E$19))))))))))))))))</f>
        <v>0</v>
      </c>
      <c r="O91" s="55"/>
      <c r="P91" s="55"/>
    </row>
    <row r="92" spans="8:16" ht="25.9" customHeight="1" thickBot="1" x14ac:dyDescent="0.25">
      <c r="H92" s="29">
        <f>AEP!BF97</f>
        <v>0</v>
      </c>
      <c r="I92" s="30">
        <f>AEP!BI97</f>
        <v>0</v>
      </c>
      <c r="J92" s="31">
        <f>AEP!BM97</f>
        <v>0</v>
      </c>
      <c r="K92" s="32" t="str">
        <f>IF(AND(I92=INCERTEZA!$B$3,J92=INCERTEZA!$C$3),INCERTEZA!$D$3,IF(AND(I92=INCERTEZA!$B$4,J92=INCERTEZA!$C$4),INCERTEZA!$D$4,IF(AND(I92=INCERTEZA!$B$5,J92=INCERTEZA!$C$5),INCERTEZA!$D$5,IF(AND(I92=INCERTEZA!$B$6,J92=INCERTEZA!$C$6),INCERTEZA!$D$6,IF(AND(I92=INCERTEZA!$B$7,J92=INCERTEZA!$C$7),INCERTEZA!$D$7,IF(AND(I92=INCERTEZA!$B$8,J92=INCERTEZA!$C$8),INCERTEZA!$D$8,IF(AND(I92=INCERTEZA!$B$9,J92=INCERTEZA!$C$9),INCERTEZA!$D$9,IF(AND(I92=INCERTEZA!$B$10,J92=INCERTEZA!$C$10),INCERTEZA!$D$10,IF(AND(I92=INCERTEZA!$B$11,J92=INCERTEZA!$C$11),INCERTEZA!$D$11,IF(AND(I92=INCERTEZA!$B$12,J92=INCERTEZA!$C$12),INCERTEZA!$D$12,IF(AND(I92=INCERTEZA!$B$13,J92=INCERTEZA!$C$13),INCERTEZA!$D$13,IF(AND(I92=INCERTEZA!$B$14,J92=INCERTEZA!$C$14),INCERTEZA!$D$14,IF(AND(I92=INCERTEZA!$B$15,J92=INCERTEZA!$C$15),INCERTEZA!$D$15,IF(AND(I92=INCERTEZA!$B$16,J92=INCERTEZA!$C$16),INCERTEZA!$D$16,IF(AND(I92=INCERTEZA!$B$17,J92=INCERTEZA!$C$17),INCERTEZA!$D$17,"-")))))))))))))))</f>
        <v>-</v>
      </c>
      <c r="L92" s="33">
        <f>AEP!CX97</f>
        <v>0</v>
      </c>
      <c r="M92" s="34">
        <f>AEP!CO97</f>
        <v>0</v>
      </c>
      <c r="N92" s="55" t="b">
        <f>IF(AND(L92=monitoramento!$C$4,M92=monitoramento!$D$4),monitoramento!$E$4,IF(AND(L92=monitoramento!$C$5,M92=monitoramento!$D$5),monitoramento!$E$5,IF(AND(L92=monitoramento!$C$6,M92=monitoramento!$D$6),monitoramento!$E$6,IF(AND(L92=monitoramento!$C$7,M92=monitoramento!$D$7),monitoramento!$E$7,IF(AND(L92=monitoramento!$C$8,M92=monitoramento!$D$8),monitoramento!$E$8,IF(AND(L92=monitoramento!$C$9,M92=monitoramento!$D$9),monitoramento!$E$9,IF(AND(L92=monitoramento!$C$10,M92=monitoramento!$D$10),monitoramento!$E$10,IF(AND(L92=monitoramento!$C$11,M92=monitoramento!$D$11),monitoramento!$E$11,IF(AND(L92=monitoramento!$C$12,M92=monitoramento!$D$12),monitoramento!$E$12,IF(AND(L92=monitoramento!$C$13,M92=monitoramento!$D$13),monitoramento!$E$13,IF(AND(L92=monitoramento!$C$14,M92=monitoramento!$D$14),monitoramento!$E$14,IF(AND(L92=monitoramento!$C$15,M92=monitoramento!$D$15),monitoramento!$E$15,IF(AND(L92=monitoramento!$C$16,M92=monitoramento!$D$16),monitoramento!$E$16,IF(AND(L92=monitoramento!$C$17,M92=monitoramento!$D$17),monitoramento!$E$17,IF(AND(L92=monitoramento!$C$18,M92=monitoramento!$D$18),monitoramento!$E$18,IF(AND(L92=monitoramento!$C$19,M92=monitoramento!$D$19),monitoramento!$E$19))))))))))))))))</f>
        <v>0</v>
      </c>
      <c r="O92" s="55"/>
      <c r="P92" s="55"/>
    </row>
    <row r="93" spans="8:16" ht="25.9" customHeight="1" thickBot="1" x14ac:dyDescent="0.25">
      <c r="H93" s="29">
        <f>AEP!BF98</f>
        <v>0</v>
      </c>
      <c r="I93" s="30">
        <f>AEP!BI98</f>
        <v>0</v>
      </c>
      <c r="J93" s="31">
        <f>AEP!BM98</f>
        <v>0</v>
      </c>
      <c r="K93" s="32" t="str">
        <f>IF(AND(I93=INCERTEZA!$B$3,J93=INCERTEZA!$C$3),INCERTEZA!$D$3,IF(AND(I93=INCERTEZA!$B$4,J93=INCERTEZA!$C$4),INCERTEZA!$D$4,IF(AND(I93=INCERTEZA!$B$5,J93=INCERTEZA!$C$5),INCERTEZA!$D$5,IF(AND(I93=INCERTEZA!$B$6,J93=INCERTEZA!$C$6),INCERTEZA!$D$6,IF(AND(I93=INCERTEZA!$B$7,J93=INCERTEZA!$C$7),INCERTEZA!$D$7,IF(AND(I93=INCERTEZA!$B$8,J93=INCERTEZA!$C$8),INCERTEZA!$D$8,IF(AND(I93=INCERTEZA!$B$9,J93=INCERTEZA!$C$9),INCERTEZA!$D$9,IF(AND(I93=INCERTEZA!$B$10,J93=INCERTEZA!$C$10),INCERTEZA!$D$10,IF(AND(I93=INCERTEZA!$B$11,J93=INCERTEZA!$C$11),INCERTEZA!$D$11,IF(AND(I93=INCERTEZA!$B$12,J93=INCERTEZA!$C$12),INCERTEZA!$D$12,IF(AND(I93=INCERTEZA!$B$13,J93=INCERTEZA!$C$13),INCERTEZA!$D$13,IF(AND(I93=INCERTEZA!$B$14,J93=INCERTEZA!$C$14),INCERTEZA!$D$14,IF(AND(I93=INCERTEZA!$B$15,J93=INCERTEZA!$C$15),INCERTEZA!$D$15,IF(AND(I93=INCERTEZA!$B$16,J93=INCERTEZA!$C$16),INCERTEZA!$D$16,IF(AND(I93=INCERTEZA!$B$17,J93=INCERTEZA!$C$17),INCERTEZA!$D$17,"-")))))))))))))))</f>
        <v>-</v>
      </c>
      <c r="L93" s="33">
        <f>AEP!CX98</f>
        <v>0</v>
      </c>
      <c r="M93" s="34">
        <f>AEP!CO98</f>
        <v>0</v>
      </c>
      <c r="N93" s="55" t="b">
        <f>IF(AND(L93=monitoramento!$C$4,M93=monitoramento!$D$4),monitoramento!$E$4,IF(AND(L93=monitoramento!$C$5,M93=monitoramento!$D$5),monitoramento!$E$5,IF(AND(L93=monitoramento!$C$6,M93=monitoramento!$D$6),monitoramento!$E$6,IF(AND(L93=monitoramento!$C$7,M93=monitoramento!$D$7),monitoramento!$E$7,IF(AND(L93=monitoramento!$C$8,M93=monitoramento!$D$8),monitoramento!$E$8,IF(AND(L93=monitoramento!$C$9,M93=monitoramento!$D$9),monitoramento!$E$9,IF(AND(L93=monitoramento!$C$10,M93=monitoramento!$D$10),monitoramento!$E$10,IF(AND(L93=monitoramento!$C$11,M93=monitoramento!$D$11),monitoramento!$E$11,IF(AND(L93=monitoramento!$C$12,M93=monitoramento!$D$12),monitoramento!$E$12,IF(AND(L93=monitoramento!$C$13,M93=monitoramento!$D$13),monitoramento!$E$13,IF(AND(L93=monitoramento!$C$14,M93=monitoramento!$D$14),monitoramento!$E$14,IF(AND(L93=monitoramento!$C$15,M93=monitoramento!$D$15),monitoramento!$E$15,IF(AND(L93=monitoramento!$C$16,M93=monitoramento!$D$16),monitoramento!$E$16,IF(AND(L93=monitoramento!$C$17,M93=monitoramento!$D$17),monitoramento!$E$17,IF(AND(L93=monitoramento!$C$18,M93=monitoramento!$D$18),monitoramento!$E$18,IF(AND(L93=monitoramento!$C$19,M93=monitoramento!$D$19),monitoramento!$E$19))))))))))))))))</f>
        <v>0</v>
      </c>
      <c r="O93" s="55"/>
      <c r="P93" s="55"/>
    </row>
    <row r="94" spans="8:16" ht="25.9" customHeight="1" thickBot="1" x14ac:dyDescent="0.25">
      <c r="H94" s="29">
        <f>AEP!BF99</f>
        <v>0</v>
      </c>
      <c r="I94" s="30">
        <f>AEP!BI99</f>
        <v>0</v>
      </c>
      <c r="J94" s="31">
        <f>AEP!BM99</f>
        <v>0</v>
      </c>
      <c r="K94" s="32" t="str">
        <f>IF(AND(I94=INCERTEZA!$B$3,J94=INCERTEZA!$C$3),INCERTEZA!$D$3,IF(AND(I94=INCERTEZA!$B$4,J94=INCERTEZA!$C$4),INCERTEZA!$D$4,IF(AND(I94=INCERTEZA!$B$5,J94=INCERTEZA!$C$5),INCERTEZA!$D$5,IF(AND(I94=INCERTEZA!$B$6,J94=INCERTEZA!$C$6),INCERTEZA!$D$6,IF(AND(I94=INCERTEZA!$B$7,J94=INCERTEZA!$C$7),INCERTEZA!$D$7,IF(AND(I94=INCERTEZA!$B$8,J94=INCERTEZA!$C$8),INCERTEZA!$D$8,IF(AND(I94=INCERTEZA!$B$9,J94=INCERTEZA!$C$9),INCERTEZA!$D$9,IF(AND(I94=INCERTEZA!$B$10,J94=INCERTEZA!$C$10),INCERTEZA!$D$10,IF(AND(I94=INCERTEZA!$B$11,J94=INCERTEZA!$C$11),INCERTEZA!$D$11,IF(AND(I94=INCERTEZA!$B$12,J94=INCERTEZA!$C$12),INCERTEZA!$D$12,IF(AND(I94=INCERTEZA!$B$13,J94=INCERTEZA!$C$13),INCERTEZA!$D$13,IF(AND(I94=INCERTEZA!$B$14,J94=INCERTEZA!$C$14),INCERTEZA!$D$14,IF(AND(I94=INCERTEZA!$B$15,J94=INCERTEZA!$C$15),INCERTEZA!$D$15,IF(AND(I94=INCERTEZA!$B$16,J94=INCERTEZA!$C$16),INCERTEZA!$D$16,IF(AND(I94=INCERTEZA!$B$17,J94=INCERTEZA!$C$17),INCERTEZA!$D$17,"-")))))))))))))))</f>
        <v>-</v>
      </c>
      <c r="L94" s="33">
        <f>AEP!CX99</f>
        <v>0</v>
      </c>
      <c r="M94" s="34">
        <f>AEP!CO99</f>
        <v>0</v>
      </c>
      <c r="N94" s="55" t="b">
        <f>IF(AND(L94=monitoramento!$C$4,M94=monitoramento!$D$4),monitoramento!$E$4,IF(AND(L94=monitoramento!$C$5,M94=monitoramento!$D$5),monitoramento!$E$5,IF(AND(L94=monitoramento!$C$6,M94=monitoramento!$D$6),monitoramento!$E$6,IF(AND(L94=monitoramento!$C$7,M94=monitoramento!$D$7),monitoramento!$E$7,IF(AND(L94=monitoramento!$C$8,M94=monitoramento!$D$8),monitoramento!$E$8,IF(AND(L94=monitoramento!$C$9,M94=monitoramento!$D$9),monitoramento!$E$9,IF(AND(L94=monitoramento!$C$10,M94=monitoramento!$D$10),monitoramento!$E$10,IF(AND(L94=monitoramento!$C$11,M94=monitoramento!$D$11),monitoramento!$E$11,IF(AND(L94=monitoramento!$C$12,M94=monitoramento!$D$12),monitoramento!$E$12,IF(AND(L94=monitoramento!$C$13,M94=monitoramento!$D$13),monitoramento!$E$13,IF(AND(L94=monitoramento!$C$14,M94=monitoramento!$D$14),monitoramento!$E$14,IF(AND(L94=monitoramento!$C$15,M94=monitoramento!$D$15),monitoramento!$E$15,IF(AND(L94=monitoramento!$C$16,M94=monitoramento!$D$16),monitoramento!$E$16,IF(AND(L94=monitoramento!$C$17,M94=monitoramento!$D$17),monitoramento!$E$17,IF(AND(L94=monitoramento!$C$18,M94=monitoramento!$D$18),monitoramento!$E$18,IF(AND(L94=monitoramento!$C$19,M94=monitoramento!$D$19),monitoramento!$E$19))))))))))))))))</f>
        <v>0</v>
      </c>
      <c r="O94" s="55"/>
      <c r="P94" s="55"/>
    </row>
    <row r="95" spans="8:16" ht="25.9" customHeight="1" thickBot="1" x14ac:dyDescent="0.25">
      <c r="H95" s="29">
        <f>AEP!BF100</f>
        <v>0</v>
      </c>
      <c r="I95" s="30">
        <f>AEP!BI100</f>
        <v>0</v>
      </c>
      <c r="J95" s="31">
        <f>AEP!BM100</f>
        <v>0</v>
      </c>
      <c r="K95" s="32" t="str">
        <f>IF(AND(I95=INCERTEZA!$B$3,J95=INCERTEZA!$C$3),INCERTEZA!$D$3,IF(AND(I95=INCERTEZA!$B$4,J95=INCERTEZA!$C$4),INCERTEZA!$D$4,IF(AND(I95=INCERTEZA!$B$5,J95=INCERTEZA!$C$5),INCERTEZA!$D$5,IF(AND(I95=INCERTEZA!$B$6,J95=INCERTEZA!$C$6),INCERTEZA!$D$6,IF(AND(I95=INCERTEZA!$B$7,J95=INCERTEZA!$C$7),INCERTEZA!$D$7,IF(AND(I95=INCERTEZA!$B$8,J95=INCERTEZA!$C$8),INCERTEZA!$D$8,IF(AND(I95=INCERTEZA!$B$9,J95=INCERTEZA!$C$9),INCERTEZA!$D$9,IF(AND(I95=INCERTEZA!$B$10,J95=INCERTEZA!$C$10),INCERTEZA!$D$10,IF(AND(I95=INCERTEZA!$B$11,J95=INCERTEZA!$C$11),INCERTEZA!$D$11,IF(AND(I95=INCERTEZA!$B$12,J95=INCERTEZA!$C$12),INCERTEZA!$D$12,IF(AND(I95=INCERTEZA!$B$13,J95=INCERTEZA!$C$13),INCERTEZA!$D$13,IF(AND(I95=INCERTEZA!$B$14,J95=INCERTEZA!$C$14),INCERTEZA!$D$14,IF(AND(I95=INCERTEZA!$B$15,J95=INCERTEZA!$C$15),INCERTEZA!$D$15,IF(AND(I95=INCERTEZA!$B$16,J95=INCERTEZA!$C$16),INCERTEZA!$D$16,IF(AND(I95=INCERTEZA!$B$17,J95=INCERTEZA!$C$17),INCERTEZA!$D$17,"-")))))))))))))))</f>
        <v>-</v>
      </c>
      <c r="L95" s="33">
        <f>AEP!CX100</f>
        <v>0</v>
      </c>
      <c r="M95" s="34">
        <f>AEP!CO100</f>
        <v>0</v>
      </c>
      <c r="N95" s="55" t="b">
        <f>IF(AND(L95=monitoramento!$C$4,M95=monitoramento!$D$4),monitoramento!$E$4,IF(AND(L95=monitoramento!$C$5,M95=monitoramento!$D$5),monitoramento!$E$5,IF(AND(L95=monitoramento!$C$6,M95=monitoramento!$D$6),monitoramento!$E$6,IF(AND(L95=monitoramento!$C$7,M95=monitoramento!$D$7),monitoramento!$E$7,IF(AND(L95=monitoramento!$C$8,M95=monitoramento!$D$8),monitoramento!$E$8,IF(AND(L95=monitoramento!$C$9,M95=monitoramento!$D$9),monitoramento!$E$9,IF(AND(L95=monitoramento!$C$10,M95=monitoramento!$D$10),monitoramento!$E$10,IF(AND(L95=monitoramento!$C$11,M95=monitoramento!$D$11),monitoramento!$E$11,IF(AND(L95=monitoramento!$C$12,M95=monitoramento!$D$12),monitoramento!$E$12,IF(AND(L95=monitoramento!$C$13,M95=monitoramento!$D$13),monitoramento!$E$13,IF(AND(L95=monitoramento!$C$14,M95=monitoramento!$D$14),monitoramento!$E$14,IF(AND(L95=monitoramento!$C$15,M95=monitoramento!$D$15),monitoramento!$E$15,IF(AND(L95=monitoramento!$C$16,M95=monitoramento!$D$16),monitoramento!$E$16,IF(AND(L95=monitoramento!$C$17,M95=monitoramento!$D$17),monitoramento!$E$17,IF(AND(L95=monitoramento!$C$18,M95=monitoramento!$D$18),monitoramento!$E$18,IF(AND(L95=monitoramento!$C$19,M95=monitoramento!$D$19),monitoramento!$E$19))))))))))))))))</f>
        <v>0</v>
      </c>
      <c r="O95" s="55"/>
      <c r="P95" s="55"/>
    </row>
    <row r="96" spans="8:16" ht="25.9" customHeight="1" thickBot="1" x14ac:dyDescent="0.25">
      <c r="H96" s="29">
        <f>AEP!BF101</f>
        <v>0</v>
      </c>
      <c r="I96" s="30">
        <f>AEP!BI101</f>
        <v>0</v>
      </c>
      <c r="J96" s="31">
        <f>AEP!BM101</f>
        <v>0</v>
      </c>
      <c r="K96" s="32" t="str">
        <f>IF(AND(I96=INCERTEZA!$B$3,J96=INCERTEZA!$C$3),INCERTEZA!$D$3,IF(AND(I96=INCERTEZA!$B$4,J96=INCERTEZA!$C$4),INCERTEZA!$D$4,IF(AND(I96=INCERTEZA!$B$5,J96=INCERTEZA!$C$5),INCERTEZA!$D$5,IF(AND(I96=INCERTEZA!$B$6,J96=INCERTEZA!$C$6),INCERTEZA!$D$6,IF(AND(I96=INCERTEZA!$B$7,J96=INCERTEZA!$C$7),INCERTEZA!$D$7,IF(AND(I96=INCERTEZA!$B$8,J96=INCERTEZA!$C$8),INCERTEZA!$D$8,IF(AND(I96=INCERTEZA!$B$9,J96=INCERTEZA!$C$9),INCERTEZA!$D$9,IF(AND(I96=INCERTEZA!$B$10,J96=INCERTEZA!$C$10),INCERTEZA!$D$10,IF(AND(I96=INCERTEZA!$B$11,J96=INCERTEZA!$C$11),INCERTEZA!$D$11,IF(AND(I96=INCERTEZA!$B$12,J96=INCERTEZA!$C$12),INCERTEZA!$D$12,IF(AND(I96=INCERTEZA!$B$13,J96=INCERTEZA!$C$13),INCERTEZA!$D$13,IF(AND(I96=INCERTEZA!$B$14,J96=INCERTEZA!$C$14),INCERTEZA!$D$14,IF(AND(I96=INCERTEZA!$B$15,J96=INCERTEZA!$C$15),INCERTEZA!$D$15,IF(AND(I96=INCERTEZA!$B$16,J96=INCERTEZA!$C$16),INCERTEZA!$D$16,IF(AND(I96=INCERTEZA!$B$17,J96=INCERTEZA!$C$17),INCERTEZA!$D$17,"-")))))))))))))))</f>
        <v>-</v>
      </c>
      <c r="L96" s="33">
        <f>AEP!CX101</f>
        <v>0</v>
      </c>
      <c r="M96" s="34">
        <f>AEP!CO101</f>
        <v>0</v>
      </c>
      <c r="N96" s="55" t="b">
        <f>IF(AND(L96=monitoramento!$C$4,M96=monitoramento!$D$4),monitoramento!$E$4,IF(AND(L96=monitoramento!$C$5,M96=monitoramento!$D$5),monitoramento!$E$5,IF(AND(L96=monitoramento!$C$6,M96=monitoramento!$D$6),monitoramento!$E$6,IF(AND(L96=monitoramento!$C$7,M96=monitoramento!$D$7),monitoramento!$E$7,IF(AND(L96=monitoramento!$C$8,M96=monitoramento!$D$8),monitoramento!$E$8,IF(AND(L96=monitoramento!$C$9,M96=monitoramento!$D$9),monitoramento!$E$9,IF(AND(L96=monitoramento!$C$10,M96=monitoramento!$D$10),monitoramento!$E$10,IF(AND(L96=monitoramento!$C$11,M96=monitoramento!$D$11),monitoramento!$E$11,IF(AND(L96=monitoramento!$C$12,M96=monitoramento!$D$12),monitoramento!$E$12,IF(AND(L96=monitoramento!$C$13,M96=monitoramento!$D$13),monitoramento!$E$13,IF(AND(L96=monitoramento!$C$14,M96=monitoramento!$D$14),monitoramento!$E$14,IF(AND(L96=monitoramento!$C$15,M96=monitoramento!$D$15),monitoramento!$E$15,IF(AND(L96=monitoramento!$C$16,M96=monitoramento!$D$16),monitoramento!$E$16,IF(AND(L96=monitoramento!$C$17,M96=monitoramento!$D$17),monitoramento!$E$17,IF(AND(L96=monitoramento!$C$18,M96=monitoramento!$D$18),monitoramento!$E$18,IF(AND(L96=monitoramento!$C$19,M96=monitoramento!$D$19),monitoramento!$E$19))))))))))))))))</f>
        <v>0</v>
      </c>
      <c r="O96" s="55"/>
      <c r="P96" s="55"/>
    </row>
    <row r="97" spans="8:16" ht="25.9" customHeight="1" thickBot="1" x14ac:dyDescent="0.25">
      <c r="H97" s="29">
        <f>AEP!BF102</f>
        <v>0</v>
      </c>
      <c r="I97" s="30">
        <f>AEP!BI102</f>
        <v>0</v>
      </c>
      <c r="J97" s="31">
        <f>AEP!BM102</f>
        <v>0</v>
      </c>
      <c r="K97" s="32" t="str">
        <f>IF(AND(I97=INCERTEZA!$B$3,J97=INCERTEZA!$C$3),INCERTEZA!$D$3,IF(AND(I97=INCERTEZA!$B$4,J97=INCERTEZA!$C$4),INCERTEZA!$D$4,IF(AND(I97=INCERTEZA!$B$5,J97=INCERTEZA!$C$5),INCERTEZA!$D$5,IF(AND(I97=INCERTEZA!$B$6,J97=INCERTEZA!$C$6),INCERTEZA!$D$6,IF(AND(I97=INCERTEZA!$B$7,J97=INCERTEZA!$C$7),INCERTEZA!$D$7,IF(AND(I97=INCERTEZA!$B$8,J97=INCERTEZA!$C$8),INCERTEZA!$D$8,IF(AND(I97=INCERTEZA!$B$9,J97=INCERTEZA!$C$9),INCERTEZA!$D$9,IF(AND(I97=INCERTEZA!$B$10,J97=INCERTEZA!$C$10),INCERTEZA!$D$10,IF(AND(I97=INCERTEZA!$B$11,J97=INCERTEZA!$C$11),INCERTEZA!$D$11,IF(AND(I97=INCERTEZA!$B$12,J97=INCERTEZA!$C$12),INCERTEZA!$D$12,IF(AND(I97=INCERTEZA!$B$13,J97=INCERTEZA!$C$13),INCERTEZA!$D$13,IF(AND(I97=INCERTEZA!$B$14,J97=INCERTEZA!$C$14),INCERTEZA!$D$14,IF(AND(I97=INCERTEZA!$B$15,J97=INCERTEZA!$C$15),INCERTEZA!$D$15,IF(AND(I97=INCERTEZA!$B$16,J97=INCERTEZA!$C$16),INCERTEZA!$D$16,IF(AND(I97=INCERTEZA!$B$17,J97=INCERTEZA!$C$17),INCERTEZA!$D$17,"-")))))))))))))))</f>
        <v>-</v>
      </c>
      <c r="L97" s="33">
        <f>AEP!CX102</f>
        <v>0</v>
      </c>
      <c r="M97" s="34">
        <f>AEP!CO102</f>
        <v>0</v>
      </c>
      <c r="N97" s="55" t="b">
        <f>IF(AND(L97=monitoramento!$C$4,M97=monitoramento!$D$4),monitoramento!$E$4,IF(AND(L97=monitoramento!$C$5,M97=monitoramento!$D$5),monitoramento!$E$5,IF(AND(L97=monitoramento!$C$6,M97=monitoramento!$D$6),monitoramento!$E$6,IF(AND(L97=monitoramento!$C$7,M97=monitoramento!$D$7),monitoramento!$E$7,IF(AND(L97=monitoramento!$C$8,M97=monitoramento!$D$8),monitoramento!$E$8,IF(AND(L97=monitoramento!$C$9,M97=monitoramento!$D$9),monitoramento!$E$9,IF(AND(L97=monitoramento!$C$10,M97=monitoramento!$D$10),monitoramento!$E$10,IF(AND(L97=monitoramento!$C$11,M97=monitoramento!$D$11),monitoramento!$E$11,IF(AND(L97=monitoramento!$C$12,M97=monitoramento!$D$12),monitoramento!$E$12,IF(AND(L97=monitoramento!$C$13,M97=monitoramento!$D$13),monitoramento!$E$13,IF(AND(L97=monitoramento!$C$14,M97=monitoramento!$D$14),monitoramento!$E$14,IF(AND(L97=monitoramento!$C$15,M97=monitoramento!$D$15),monitoramento!$E$15,IF(AND(L97=monitoramento!$C$16,M97=monitoramento!$D$16),monitoramento!$E$16,IF(AND(L97=monitoramento!$C$17,M97=monitoramento!$D$17),monitoramento!$E$17,IF(AND(L97=monitoramento!$C$18,M97=monitoramento!$D$18),monitoramento!$E$18,IF(AND(L97=monitoramento!$C$19,M97=monitoramento!$D$19),monitoramento!$E$19))))))))))))))))</f>
        <v>0</v>
      </c>
      <c r="O97" s="55"/>
      <c r="P97" s="55"/>
    </row>
    <row r="98" spans="8:16" ht="25.9" customHeight="1" thickBot="1" x14ac:dyDescent="0.25">
      <c r="H98" s="29">
        <f>AEP!BF103</f>
        <v>0</v>
      </c>
      <c r="I98" s="30">
        <f>AEP!BI103</f>
        <v>0</v>
      </c>
      <c r="J98" s="31">
        <f>AEP!BM103</f>
        <v>0</v>
      </c>
      <c r="K98" s="32" t="str">
        <f>IF(AND(I98=INCERTEZA!$B$3,J98=INCERTEZA!$C$3),INCERTEZA!$D$3,IF(AND(I98=INCERTEZA!$B$4,J98=INCERTEZA!$C$4),INCERTEZA!$D$4,IF(AND(I98=INCERTEZA!$B$5,J98=INCERTEZA!$C$5),INCERTEZA!$D$5,IF(AND(I98=INCERTEZA!$B$6,J98=INCERTEZA!$C$6),INCERTEZA!$D$6,IF(AND(I98=INCERTEZA!$B$7,J98=INCERTEZA!$C$7),INCERTEZA!$D$7,IF(AND(I98=INCERTEZA!$B$8,J98=INCERTEZA!$C$8),INCERTEZA!$D$8,IF(AND(I98=INCERTEZA!$B$9,J98=INCERTEZA!$C$9),INCERTEZA!$D$9,IF(AND(I98=INCERTEZA!$B$10,J98=INCERTEZA!$C$10),INCERTEZA!$D$10,IF(AND(I98=INCERTEZA!$B$11,J98=INCERTEZA!$C$11),INCERTEZA!$D$11,IF(AND(I98=INCERTEZA!$B$12,J98=INCERTEZA!$C$12),INCERTEZA!$D$12,IF(AND(I98=INCERTEZA!$B$13,J98=INCERTEZA!$C$13),INCERTEZA!$D$13,IF(AND(I98=INCERTEZA!$B$14,J98=INCERTEZA!$C$14),INCERTEZA!$D$14,IF(AND(I98=INCERTEZA!$B$15,J98=INCERTEZA!$C$15),INCERTEZA!$D$15,IF(AND(I98=INCERTEZA!$B$16,J98=INCERTEZA!$C$16),INCERTEZA!$D$16,IF(AND(I98=INCERTEZA!$B$17,J98=INCERTEZA!$C$17),INCERTEZA!$D$17,"-")))))))))))))))</f>
        <v>-</v>
      </c>
      <c r="L98" s="33">
        <f>AEP!CX103</f>
        <v>0</v>
      </c>
      <c r="M98" s="34">
        <f>AEP!CO103</f>
        <v>0</v>
      </c>
      <c r="N98" s="55" t="b">
        <f>IF(AND(L98=monitoramento!$C$4,M98=monitoramento!$D$4),monitoramento!$E$4,IF(AND(L98=monitoramento!$C$5,M98=monitoramento!$D$5),monitoramento!$E$5,IF(AND(L98=monitoramento!$C$6,M98=monitoramento!$D$6),monitoramento!$E$6,IF(AND(L98=monitoramento!$C$7,M98=monitoramento!$D$7),monitoramento!$E$7,IF(AND(L98=monitoramento!$C$8,M98=monitoramento!$D$8),monitoramento!$E$8,IF(AND(L98=monitoramento!$C$9,M98=monitoramento!$D$9),monitoramento!$E$9,IF(AND(L98=monitoramento!$C$10,M98=monitoramento!$D$10),monitoramento!$E$10,IF(AND(L98=monitoramento!$C$11,M98=monitoramento!$D$11),monitoramento!$E$11,IF(AND(L98=monitoramento!$C$12,M98=monitoramento!$D$12),monitoramento!$E$12,IF(AND(L98=monitoramento!$C$13,M98=monitoramento!$D$13),monitoramento!$E$13,IF(AND(L98=monitoramento!$C$14,M98=monitoramento!$D$14),monitoramento!$E$14,IF(AND(L98=monitoramento!$C$15,M98=monitoramento!$D$15),monitoramento!$E$15,IF(AND(L98=monitoramento!$C$16,M98=monitoramento!$D$16),monitoramento!$E$16,IF(AND(L98=monitoramento!$C$17,M98=monitoramento!$D$17),monitoramento!$E$17,IF(AND(L98=monitoramento!$C$18,M98=monitoramento!$D$18),monitoramento!$E$18,IF(AND(L98=monitoramento!$C$19,M98=monitoramento!$D$19),monitoramento!$E$19))))))))))))))))</f>
        <v>0</v>
      </c>
      <c r="O98" s="55"/>
      <c r="P98" s="55"/>
    </row>
    <row r="99" spans="8:16" ht="25.9" customHeight="1" thickBot="1" x14ac:dyDescent="0.25">
      <c r="H99" s="29">
        <f>AEP!BF104</f>
        <v>0</v>
      </c>
      <c r="I99" s="30">
        <f>AEP!BI104</f>
        <v>0</v>
      </c>
      <c r="J99" s="31">
        <f>AEP!BM104</f>
        <v>0</v>
      </c>
      <c r="K99" s="32" t="str">
        <f>IF(AND(I99=INCERTEZA!$B$3,J99=INCERTEZA!$C$3),INCERTEZA!$D$3,IF(AND(I99=INCERTEZA!$B$4,J99=INCERTEZA!$C$4),INCERTEZA!$D$4,IF(AND(I99=INCERTEZA!$B$5,J99=INCERTEZA!$C$5),INCERTEZA!$D$5,IF(AND(I99=INCERTEZA!$B$6,J99=INCERTEZA!$C$6),INCERTEZA!$D$6,IF(AND(I99=INCERTEZA!$B$7,J99=INCERTEZA!$C$7),INCERTEZA!$D$7,IF(AND(I99=INCERTEZA!$B$8,J99=INCERTEZA!$C$8),INCERTEZA!$D$8,IF(AND(I99=INCERTEZA!$B$9,J99=INCERTEZA!$C$9),INCERTEZA!$D$9,IF(AND(I99=INCERTEZA!$B$10,J99=INCERTEZA!$C$10),INCERTEZA!$D$10,IF(AND(I99=INCERTEZA!$B$11,J99=INCERTEZA!$C$11),INCERTEZA!$D$11,IF(AND(I99=INCERTEZA!$B$12,J99=INCERTEZA!$C$12),INCERTEZA!$D$12,IF(AND(I99=INCERTEZA!$B$13,J99=INCERTEZA!$C$13),INCERTEZA!$D$13,IF(AND(I99=INCERTEZA!$B$14,J99=INCERTEZA!$C$14),INCERTEZA!$D$14,IF(AND(I99=INCERTEZA!$B$15,J99=INCERTEZA!$C$15),INCERTEZA!$D$15,IF(AND(I99=INCERTEZA!$B$16,J99=INCERTEZA!$C$16),INCERTEZA!$D$16,IF(AND(I99=INCERTEZA!$B$17,J99=INCERTEZA!$C$17),INCERTEZA!$D$17,"-")))))))))))))))</f>
        <v>-</v>
      </c>
      <c r="L99" s="33">
        <f>AEP!CX104</f>
        <v>0</v>
      </c>
      <c r="M99" s="34">
        <f>AEP!CO104</f>
        <v>0</v>
      </c>
      <c r="N99" s="55" t="b">
        <f>IF(AND(L99=monitoramento!$C$4,M99=monitoramento!$D$4),monitoramento!$E$4,IF(AND(L99=monitoramento!$C$5,M99=monitoramento!$D$5),monitoramento!$E$5,IF(AND(L99=monitoramento!$C$6,M99=monitoramento!$D$6),monitoramento!$E$6,IF(AND(L99=monitoramento!$C$7,M99=monitoramento!$D$7),monitoramento!$E$7,IF(AND(L99=monitoramento!$C$8,M99=monitoramento!$D$8),monitoramento!$E$8,IF(AND(L99=monitoramento!$C$9,M99=monitoramento!$D$9),monitoramento!$E$9,IF(AND(L99=monitoramento!$C$10,M99=monitoramento!$D$10),monitoramento!$E$10,IF(AND(L99=monitoramento!$C$11,M99=monitoramento!$D$11),monitoramento!$E$11,IF(AND(L99=monitoramento!$C$12,M99=monitoramento!$D$12),monitoramento!$E$12,IF(AND(L99=monitoramento!$C$13,M99=monitoramento!$D$13),monitoramento!$E$13,IF(AND(L99=monitoramento!$C$14,M99=monitoramento!$D$14),monitoramento!$E$14,IF(AND(L99=monitoramento!$C$15,M99=monitoramento!$D$15),monitoramento!$E$15,IF(AND(L99=monitoramento!$C$16,M99=monitoramento!$D$16),monitoramento!$E$16,IF(AND(L99=monitoramento!$C$17,M99=monitoramento!$D$17),monitoramento!$E$17,IF(AND(L99=monitoramento!$C$18,M99=monitoramento!$D$18),monitoramento!$E$18,IF(AND(L99=monitoramento!$C$19,M99=monitoramento!$D$19),monitoramento!$E$19))))))))))))))))</f>
        <v>0</v>
      </c>
      <c r="O99" s="55"/>
      <c r="P99" s="55"/>
    </row>
    <row r="100" spans="8:16" ht="25.9" customHeight="1" thickBot="1" x14ac:dyDescent="0.25">
      <c r="H100" s="29">
        <f>AEP!BF105</f>
        <v>0</v>
      </c>
      <c r="I100" s="30">
        <f>AEP!BI105</f>
        <v>0</v>
      </c>
      <c r="J100" s="31">
        <f>AEP!BM105</f>
        <v>0</v>
      </c>
      <c r="K100" s="32" t="str">
        <f>IF(AND(I100=INCERTEZA!$B$3,J100=INCERTEZA!$C$3),INCERTEZA!$D$3,IF(AND(I100=INCERTEZA!$B$4,J100=INCERTEZA!$C$4),INCERTEZA!$D$4,IF(AND(I100=INCERTEZA!$B$5,J100=INCERTEZA!$C$5),INCERTEZA!$D$5,IF(AND(I100=INCERTEZA!$B$6,J100=INCERTEZA!$C$6),INCERTEZA!$D$6,IF(AND(I100=INCERTEZA!$B$7,J100=INCERTEZA!$C$7),INCERTEZA!$D$7,IF(AND(I100=INCERTEZA!$B$8,J100=INCERTEZA!$C$8),INCERTEZA!$D$8,IF(AND(I100=INCERTEZA!$B$9,J100=INCERTEZA!$C$9),INCERTEZA!$D$9,IF(AND(I100=INCERTEZA!$B$10,J100=INCERTEZA!$C$10),INCERTEZA!$D$10,IF(AND(I100=INCERTEZA!$B$11,J100=INCERTEZA!$C$11),INCERTEZA!$D$11,IF(AND(I100=INCERTEZA!$B$12,J100=INCERTEZA!$C$12),INCERTEZA!$D$12,IF(AND(I100=INCERTEZA!$B$13,J100=INCERTEZA!$C$13),INCERTEZA!$D$13,IF(AND(I100=INCERTEZA!$B$14,J100=INCERTEZA!$C$14),INCERTEZA!$D$14,IF(AND(I100=INCERTEZA!$B$15,J100=INCERTEZA!$C$15),INCERTEZA!$D$15,IF(AND(I100=INCERTEZA!$B$16,J100=INCERTEZA!$C$16),INCERTEZA!$D$16,IF(AND(I100=INCERTEZA!$B$17,J100=INCERTEZA!$C$17),INCERTEZA!$D$17,"-")))))))))))))))</f>
        <v>-</v>
      </c>
      <c r="L100" s="33">
        <f>AEP!CX105</f>
        <v>0</v>
      </c>
      <c r="M100" s="34">
        <f>AEP!CO105</f>
        <v>0</v>
      </c>
      <c r="N100" s="55" t="b">
        <f>IF(AND(L100=monitoramento!$C$4,M100=monitoramento!$D$4),monitoramento!$E$4,IF(AND(L100=monitoramento!$C$5,M100=monitoramento!$D$5),monitoramento!$E$5,IF(AND(L100=monitoramento!$C$6,M100=monitoramento!$D$6),monitoramento!$E$6,IF(AND(L100=monitoramento!$C$7,M100=monitoramento!$D$7),monitoramento!$E$7,IF(AND(L100=monitoramento!$C$8,M100=monitoramento!$D$8),monitoramento!$E$8,IF(AND(L100=monitoramento!$C$9,M100=monitoramento!$D$9),monitoramento!$E$9,IF(AND(L100=monitoramento!$C$10,M100=monitoramento!$D$10),monitoramento!$E$10,IF(AND(L100=monitoramento!$C$11,M100=monitoramento!$D$11),monitoramento!$E$11,IF(AND(L100=monitoramento!$C$12,M100=monitoramento!$D$12),monitoramento!$E$12,IF(AND(L100=monitoramento!$C$13,M100=monitoramento!$D$13),monitoramento!$E$13,IF(AND(L100=monitoramento!$C$14,M100=monitoramento!$D$14),monitoramento!$E$14,IF(AND(L100=monitoramento!$C$15,M100=monitoramento!$D$15),monitoramento!$E$15,IF(AND(L100=monitoramento!$C$16,M100=monitoramento!$D$16),monitoramento!$E$16,IF(AND(L100=monitoramento!$C$17,M100=monitoramento!$D$17),monitoramento!$E$17,IF(AND(L100=monitoramento!$C$18,M100=monitoramento!$D$18),monitoramento!$E$18,IF(AND(L100=monitoramento!$C$19,M100=monitoramento!$D$19),monitoramento!$E$19))))))))))))))))</f>
        <v>0</v>
      </c>
      <c r="O100" s="55"/>
      <c r="P100" s="55"/>
    </row>
    <row r="101" spans="8:16" ht="25.9" customHeight="1" thickBot="1" x14ac:dyDescent="0.25">
      <c r="H101" s="29">
        <f>AEP!BF106</f>
        <v>0</v>
      </c>
      <c r="I101" s="30">
        <f>AEP!BI106</f>
        <v>0</v>
      </c>
      <c r="J101" s="31">
        <f>AEP!BM106</f>
        <v>0</v>
      </c>
      <c r="K101" s="32" t="str">
        <f>IF(AND(I101=INCERTEZA!$B$3,J101=INCERTEZA!$C$3),INCERTEZA!$D$3,IF(AND(I101=INCERTEZA!$B$4,J101=INCERTEZA!$C$4),INCERTEZA!$D$4,IF(AND(I101=INCERTEZA!$B$5,J101=INCERTEZA!$C$5),INCERTEZA!$D$5,IF(AND(I101=INCERTEZA!$B$6,J101=INCERTEZA!$C$6),INCERTEZA!$D$6,IF(AND(I101=INCERTEZA!$B$7,J101=INCERTEZA!$C$7),INCERTEZA!$D$7,IF(AND(I101=INCERTEZA!$B$8,J101=INCERTEZA!$C$8),INCERTEZA!$D$8,IF(AND(I101=INCERTEZA!$B$9,J101=INCERTEZA!$C$9),INCERTEZA!$D$9,IF(AND(I101=INCERTEZA!$B$10,J101=INCERTEZA!$C$10),INCERTEZA!$D$10,IF(AND(I101=INCERTEZA!$B$11,J101=INCERTEZA!$C$11),INCERTEZA!$D$11,IF(AND(I101=INCERTEZA!$B$12,J101=INCERTEZA!$C$12),INCERTEZA!$D$12,IF(AND(I101=INCERTEZA!$B$13,J101=INCERTEZA!$C$13),INCERTEZA!$D$13,IF(AND(I101=INCERTEZA!$B$14,J101=INCERTEZA!$C$14),INCERTEZA!$D$14,IF(AND(I101=INCERTEZA!$B$15,J101=INCERTEZA!$C$15),INCERTEZA!$D$15,IF(AND(I101=INCERTEZA!$B$16,J101=INCERTEZA!$C$16),INCERTEZA!$D$16,IF(AND(I101=INCERTEZA!$B$17,J101=INCERTEZA!$C$17),INCERTEZA!$D$17,"-")))))))))))))))</f>
        <v>-</v>
      </c>
      <c r="L101" s="33">
        <f>AEP!CX106</f>
        <v>0</v>
      </c>
      <c r="M101" s="34">
        <f>AEP!CO106</f>
        <v>0</v>
      </c>
      <c r="N101" s="55" t="b">
        <f>IF(AND(L101=monitoramento!$C$4,M101=monitoramento!$D$4),monitoramento!$E$4,IF(AND(L101=monitoramento!$C$5,M101=monitoramento!$D$5),monitoramento!$E$5,IF(AND(L101=monitoramento!$C$6,M101=monitoramento!$D$6),monitoramento!$E$6,IF(AND(L101=monitoramento!$C$7,M101=monitoramento!$D$7),monitoramento!$E$7,IF(AND(L101=monitoramento!$C$8,M101=monitoramento!$D$8),monitoramento!$E$8,IF(AND(L101=monitoramento!$C$9,M101=monitoramento!$D$9),monitoramento!$E$9,IF(AND(L101=monitoramento!$C$10,M101=monitoramento!$D$10),monitoramento!$E$10,IF(AND(L101=monitoramento!$C$11,M101=monitoramento!$D$11),monitoramento!$E$11,IF(AND(L101=monitoramento!$C$12,M101=monitoramento!$D$12),monitoramento!$E$12,IF(AND(L101=monitoramento!$C$13,M101=monitoramento!$D$13),monitoramento!$E$13,IF(AND(L101=monitoramento!$C$14,M101=monitoramento!$D$14),monitoramento!$E$14,IF(AND(L101=monitoramento!$C$15,M101=monitoramento!$D$15),monitoramento!$E$15,IF(AND(L101=monitoramento!$C$16,M101=monitoramento!$D$16),monitoramento!$E$16,IF(AND(L101=monitoramento!$C$17,M101=monitoramento!$D$17),monitoramento!$E$17,IF(AND(L101=monitoramento!$C$18,M101=monitoramento!$D$18),monitoramento!$E$18,IF(AND(L101=monitoramento!$C$19,M101=monitoramento!$D$19),monitoramento!$E$19))))))))))))))))</f>
        <v>0</v>
      </c>
      <c r="O101" s="55"/>
      <c r="P101" s="55"/>
    </row>
    <row r="102" spans="8:16" ht="25.9" customHeight="1" thickBot="1" x14ac:dyDescent="0.25">
      <c r="H102" s="29">
        <f>AEP!BF107</f>
        <v>0</v>
      </c>
      <c r="I102" s="30">
        <f>AEP!BI107</f>
        <v>0</v>
      </c>
      <c r="J102" s="31">
        <f>AEP!BM107</f>
        <v>0</v>
      </c>
      <c r="K102" s="32" t="str">
        <f>IF(AND(I102=INCERTEZA!$B$3,J102=INCERTEZA!$C$3),INCERTEZA!$D$3,IF(AND(I102=INCERTEZA!$B$4,J102=INCERTEZA!$C$4),INCERTEZA!$D$4,IF(AND(I102=INCERTEZA!$B$5,J102=INCERTEZA!$C$5),INCERTEZA!$D$5,IF(AND(I102=INCERTEZA!$B$6,J102=INCERTEZA!$C$6),INCERTEZA!$D$6,IF(AND(I102=INCERTEZA!$B$7,J102=INCERTEZA!$C$7),INCERTEZA!$D$7,IF(AND(I102=INCERTEZA!$B$8,J102=INCERTEZA!$C$8),INCERTEZA!$D$8,IF(AND(I102=INCERTEZA!$B$9,J102=INCERTEZA!$C$9),INCERTEZA!$D$9,IF(AND(I102=INCERTEZA!$B$10,J102=INCERTEZA!$C$10),INCERTEZA!$D$10,IF(AND(I102=INCERTEZA!$B$11,J102=INCERTEZA!$C$11),INCERTEZA!$D$11,IF(AND(I102=INCERTEZA!$B$12,J102=INCERTEZA!$C$12),INCERTEZA!$D$12,IF(AND(I102=INCERTEZA!$B$13,J102=INCERTEZA!$C$13),INCERTEZA!$D$13,IF(AND(I102=INCERTEZA!$B$14,J102=INCERTEZA!$C$14),INCERTEZA!$D$14,IF(AND(I102=INCERTEZA!$B$15,J102=INCERTEZA!$C$15),INCERTEZA!$D$15,IF(AND(I102=INCERTEZA!$B$16,J102=INCERTEZA!$C$16),INCERTEZA!$D$16,IF(AND(I102=INCERTEZA!$B$17,J102=INCERTEZA!$C$17),INCERTEZA!$D$17,"-")))))))))))))))</f>
        <v>-</v>
      </c>
      <c r="L102" s="33">
        <f>AEP!CX107</f>
        <v>0</v>
      </c>
      <c r="M102" s="34">
        <f>AEP!CO107</f>
        <v>0</v>
      </c>
      <c r="N102" s="55" t="b">
        <f>IF(AND(L102=monitoramento!$C$4,M102=monitoramento!$D$4),monitoramento!$E$4,IF(AND(L102=monitoramento!$C$5,M102=monitoramento!$D$5),monitoramento!$E$5,IF(AND(L102=monitoramento!$C$6,M102=monitoramento!$D$6),monitoramento!$E$6,IF(AND(L102=monitoramento!$C$7,M102=monitoramento!$D$7),monitoramento!$E$7,IF(AND(L102=monitoramento!$C$8,M102=monitoramento!$D$8),monitoramento!$E$8,IF(AND(L102=monitoramento!$C$9,M102=monitoramento!$D$9),monitoramento!$E$9,IF(AND(L102=monitoramento!$C$10,M102=monitoramento!$D$10),monitoramento!$E$10,IF(AND(L102=monitoramento!$C$11,M102=monitoramento!$D$11),monitoramento!$E$11,IF(AND(L102=monitoramento!$C$12,M102=monitoramento!$D$12),monitoramento!$E$12,IF(AND(L102=monitoramento!$C$13,M102=monitoramento!$D$13),monitoramento!$E$13,IF(AND(L102=monitoramento!$C$14,M102=monitoramento!$D$14),monitoramento!$E$14,IF(AND(L102=monitoramento!$C$15,M102=monitoramento!$D$15),monitoramento!$E$15,IF(AND(L102=monitoramento!$C$16,M102=monitoramento!$D$16),monitoramento!$E$16,IF(AND(L102=monitoramento!$C$17,M102=monitoramento!$D$17),monitoramento!$E$17,IF(AND(L102=monitoramento!$C$18,M102=monitoramento!$D$18),monitoramento!$E$18,IF(AND(L102=monitoramento!$C$19,M102=monitoramento!$D$19),monitoramento!$E$19))))))))))))))))</f>
        <v>0</v>
      </c>
      <c r="O102" s="55"/>
      <c r="P102" s="55"/>
    </row>
    <row r="103" spans="8:16" ht="25.9" customHeight="1" thickBot="1" x14ac:dyDescent="0.25">
      <c r="H103" s="29">
        <f>AEP!BF108</f>
        <v>0</v>
      </c>
      <c r="I103" s="30">
        <f>AEP!BI108</f>
        <v>0</v>
      </c>
      <c r="J103" s="31">
        <f>AEP!BM108</f>
        <v>0</v>
      </c>
      <c r="K103" s="32" t="str">
        <f>IF(AND(I103=INCERTEZA!$B$3,J103=INCERTEZA!$C$3),INCERTEZA!$D$3,IF(AND(I103=INCERTEZA!$B$4,J103=INCERTEZA!$C$4),INCERTEZA!$D$4,IF(AND(I103=INCERTEZA!$B$5,J103=INCERTEZA!$C$5),INCERTEZA!$D$5,IF(AND(I103=INCERTEZA!$B$6,J103=INCERTEZA!$C$6),INCERTEZA!$D$6,IF(AND(I103=INCERTEZA!$B$7,J103=INCERTEZA!$C$7),INCERTEZA!$D$7,IF(AND(I103=INCERTEZA!$B$8,J103=INCERTEZA!$C$8),INCERTEZA!$D$8,IF(AND(I103=INCERTEZA!$B$9,J103=INCERTEZA!$C$9),INCERTEZA!$D$9,IF(AND(I103=INCERTEZA!$B$10,J103=INCERTEZA!$C$10),INCERTEZA!$D$10,IF(AND(I103=INCERTEZA!$B$11,J103=INCERTEZA!$C$11),INCERTEZA!$D$11,IF(AND(I103=INCERTEZA!$B$12,J103=INCERTEZA!$C$12),INCERTEZA!$D$12,IF(AND(I103=INCERTEZA!$B$13,J103=INCERTEZA!$C$13),INCERTEZA!$D$13,IF(AND(I103=INCERTEZA!$B$14,J103=INCERTEZA!$C$14),INCERTEZA!$D$14,IF(AND(I103=INCERTEZA!$B$15,J103=INCERTEZA!$C$15),INCERTEZA!$D$15,IF(AND(I103=INCERTEZA!$B$16,J103=INCERTEZA!$C$16),INCERTEZA!$D$16,IF(AND(I103=INCERTEZA!$B$17,J103=INCERTEZA!$C$17),INCERTEZA!$D$17,"-")))))))))))))))</f>
        <v>-</v>
      </c>
      <c r="L103" s="33">
        <f>AEP!CX108</f>
        <v>0</v>
      </c>
      <c r="M103" s="34">
        <f>AEP!CO108</f>
        <v>0</v>
      </c>
      <c r="N103" s="55" t="b">
        <f>IF(AND(L103=monitoramento!$C$4,M103=monitoramento!$D$4),monitoramento!$E$4,IF(AND(L103=monitoramento!$C$5,M103=monitoramento!$D$5),monitoramento!$E$5,IF(AND(L103=monitoramento!$C$6,M103=monitoramento!$D$6),monitoramento!$E$6,IF(AND(L103=monitoramento!$C$7,M103=monitoramento!$D$7),monitoramento!$E$7,IF(AND(L103=monitoramento!$C$8,M103=monitoramento!$D$8),monitoramento!$E$8,IF(AND(L103=monitoramento!$C$9,M103=monitoramento!$D$9),monitoramento!$E$9,IF(AND(L103=monitoramento!$C$10,M103=monitoramento!$D$10),monitoramento!$E$10,IF(AND(L103=monitoramento!$C$11,M103=monitoramento!$D$11),monitoramento!$E$11,IF(AND(L103=monitoramento!$C$12,M103=monitoramento!$D$12),monitoramento!$E$12,IF(AND(L103=monitoramento!$C$13,M103=monitoramento!$D$13),monitoramento!$E$13,IF(AND(L103=monitoramento!$C$14,M103=monitoramento!$D$14),monitoramento!$E$14,IF(AND(L103=monitoramento!$C$15,M103=monitoramento!$D$15),monitoramento!$E$15,IF(AND(L103=monitoramento!$C$16,M103=monitoramento!$D$16),monitoramento!$E$16,IF(AND(L103=monitoramento!$C$17,M103=monitoramento!$D$17),monitoramento!$E$17,IF(AND(L103=monitoramento!$C$18,M103=monitoramento!$D$18),monitoramento!$E$18,IF(AND(L103=monitoramento!$C$19,M103=monitoramento!$D$19),monitoramento!$E$19))))))))))))))))</f>
        <v>0</v>
      </c>
      <c r="O103" s="55"/>
      <c r="P103" s="55"/>
    </row>
    <row r="104" spans="8:16" ht="25.9" customHeight="1" thickBot="1" x14ac:dyDescent="0.25">
      <c r="H104" s="29">
        <f>AEP!BF109</f>
        <v>0</v>
      </c>
      <c r="I104" s="30">
        <f>AEP!BI109</f>
        <v>0</v>
      </c>
      <c r="J104" s="31">
        <f>AEP!BM109</f>
        <v>0</v>
      </c>
      <c r="K104" s="32" t="str">
        <f>IF(AND(I104=INCERTEZA!$B$3,J104=INCERTEZA!$C$3),INCERTEZA!$D$3,IF(AND(I104=INCERTEZA!$B$4,J104=INCERTEZA!$C$4),INCERTEZA!$D$4,IF(AND(I104=INCERTEZA!$B$5,J104=INCERTEZA!$C$5),INCERTEZA!$D$5,IF(AND(I104=INCERTEZA!$B$6,J104=INCERTEZA!$C$6),INCERTEZA!$D$6,IF(AND(I104=INCERTEZA!$B$7,J104=INCERTEZA!$C$7),INCERTEZA!$D$7,IF(AND(I104=INCERTEZA!$B$8,J104=INCERTEZA!$C$8),INCERTEZA!$D$8,IF(AND(I104=INCERTEZA!$B$9,J104=INCERTEZA!$C$9),INCERTEZA!$D$9,IF(AND(I104=INCERTEZA!$B$10,J104=INCERTEZA!$C$10),INCERTEZA!$D$10,IF(AND(I104=INCERTEZA!$B$11,J104=INCERTEZA!$C$11),INCERTEZA!$D$11,IF(AND(I104=INCERTEZA!$B$12,J104=INCERTEZA!$C$12),INCERTEZA!$D$12,IF(AND(I104=INCERTEZA!$B$13,J104=INCERTEZA!$C$13),INCERTEZA!$D$13,IF(AND(I104=INCERTEZA!$B$14,J104=INCERTEZA!$C$14),INCERTEZA!$D$14,IF(AND(I104=INCERTEZA!$B$15,J104=INCERTEZA!$C$15),INCERTEZA!$D$15,IF(AND(I104=INCERTEZA!$B$16,J104=INCERTEZA!$C$16),INCERTEZA!$D$16,IF(AND(I104=INCERTEZA!$B$17,J104=INCERTEZA!$C$17),INCERTEZA!$D$17,"-")))))))))))))))</f>
        <v>-</v>
      </c>
      <c r="L104" s="33">
        <f>AEP!CX109</f>
        <v>0</v>
      </c>
      <c r="M104" s="34">
        <f>AEP!CO109</f>
        <v>0</v>
      </c>
      <c r="N104" s="55" t="b">
        <f>IF(AND(L104=monitoramento!$C$4,M104=monitoramento!$D$4),monitoramento!$E$4,IF(AND(L104=monitoramento!$C$5,M104=monitoramento!$D$5),monitoramento!$E$5,IF(AND(L104=monitoramento!$C$6,M104=monitoramento!$D$6),monitoramento!$E$6,IF(AND(L104=monitoramento!$C$7,M104=monitoramento!$D$7),monitoramento!$E$7,IF(AND(L104=monitoramento!$C$8,M104=monitoramento!$D$8),monitoramento!$E$8,IF(AND(L104=monitoramento!$C$9,M104=monitoramento!$D$9),monitoramento!$E$9,IF(AND(L104=monitoramento!$C$10,M104=monitoramento!$D$10),monitoramento!$E$10,IF(AND(L104=monitoramento!$C$11,M104=monitoramento!$D$11),monitoramento!$E$11,IF(AND(L104=monitoramento!$C$12,M104=monitoramento!$D$12),monitoramento!$E$12,IF(AND(L104=monitoramento!$C$13,M104=monitoramento!$D$13),monitoramento!$E$13,IF(AND(L104=monitoramento!$C$14,M104=monitoramento!$D$14),monitoramento!$E$14,IF(AND(L104=monitoramento!$C$15,M104=monitoramento!$D$15),monitoramento!$E$15,IF(AND(L104=monitoramento!$C$16,M104=monitoramento!$D$16),monitoramento!$E$16,IF(AND(L104=monitoramento!$C$17,M104=monitoramento!$D$17),monitoramento!$E$17,IF(AND(L104=monitoramento!$C$18,M104=monitoramento!$D$18),monitoramento!$E$18,IF(AND(L104=monitoramento!$C$19,M104=monitoramento!$D$19),monitoramento!$E$19))))))))))))))))</f>
        <v>0</v>
      </c>
      <c r="O104" s="55"/>
      <c r="P104" s="55"/>
    </row>
    <row r="105" spans="8:16" ht="25.9" customHeight="1" thickBot="1" x14ac:dyDescent="0.25">
      <c r="H105" s="29">
        <f>AEP!BF110</f>
        <v>0</v>
      </c>
      <c r="I105" s="30">
        <f>AEP!BI110</f>
        <v>0</v>
      </c>
      <c r="J105" s="31">
        <f>AEP!BM110</f>
        <v>0</v>
      </c>
      <c r="K105" s="32" t="str">
        <f>IF(AND(I105=INCERTEZA!$B$3,J105=INCERTEZA!$C$3),INCERTEZA!$D$3,IF(AND(I105=INCERTEZA!$B$4,J105=INCERTEZA!$C$4),INCERTEZA!$D$4,IF(AND(I105=INCERTEZA!$B$5,J105=INCERTEZA!$C$5),INCERTEZA!$D$5,IF(AND(I105=INCERTEZA!$B$6,J105=INCERTEZA!$C$6),INCERTEZA!$D$6,IF(AND(I105=INCERTEZA!$B$7,J105=INCERTEZA!$C$7),INCERTEZA!$D$7,IF(AND(I105=INCERTEZA!$B$8,J105=INCERTEZA!$C$8),INCERTEZA!$D$8,IF(AND(I105=INCERTEZA!$B$9,J105=INCERTEZA!$C$9),INCERTEZA!$D$9,IF(AND(I105=INCERTEZA!$B$10,J105=INCERTEZA!$C$10),INCERTEZA!$D$10,IF(AND(I105=INCERTEZA!$B$11,J105=INCERTEZA!$C$11),INCERTEZA!$D$11,IF(AND(I105=INCERTEZA!$B$12,J105=INCERTEZA!$C$12),INCERTEZA!$D$12,IF(AND(I105=INCERTEZA!$B$13,J105=INCERTEZA!$C$13),INCERTEZA!$D$13,IF(AND(I105=INCERTEZA!$B$14,J105=INCERTEZA!$C$14),INCERTEZA!$D$14,IF(AND(I105=INCERTEZA!$B$15,J105=INCERTEZA!$C$15),INCERTEZA!$D$15,IF(AND(I105=INCERTEZA!$B$16,J105=INCERTEZA!$C$16),INCERTEZA!$D$16,IF(AND(I105=INCERTEZA!$B$17,J105=INCERTEZA!$C$17),INCERTEZA!$D$17,"-")))))))))))))))</f>
        <v>-</v>
      </c>
      <c r="L105" s="33">
        <f>AEP!CX110</f>
        <v>0</v>
      </c>
      <c r="M105" s="34">
        <f>AEP!CO110</f>
        <v>0</v>
      </c>
      <c r="N105" s="55" t="b">
        <f>IF(AND(L105=monitoramento!$C$4,M105=monitoramento!$D$4),monitoramento!$E$4,IF(AND(L105=monitoramento!$C$5,M105=monitoramento!$D$5),monitoramento!$E$5,IF(AND(L105=monitoramento!$C$6,M105=monitoramento!$D$6),monitoramento!$E$6,IF(AND(L105=monitoramento!$C$7,M105=monitoramento!$D$7),monitoramento!$E$7,IF(AND(L105=monitoramento!$C$8,M105=monitoramento!$D$8),monitoramento!$E$8,IF(AND(L105=monitoramento!$C$9,M105=monitoramento!$D$9),monitoramento!$E$9,IF(AND(L105=monitoramento!$C$10,M105=monitoramento!$D$10),monitoramento!$E$10,IF(AND(L105=monitoramento!$C$11,M105=monitoramento!$D$11),monitoramento!$E$11,IF(AND(L105=monitoramento!$C$12,M105=monitoramento!$D$12),monitoramento!$E$12,IF(AND(L105=monitoramento!$C$13,M105=monitoramento!$D$13),monitoramento!$E$13,IF(AND(L105=monitoramento!$C$14,M105=monitoramento!$D$14),monitoramento!$E$14,IF(AND(L105=monitoramento!$C$15,M105=monitoramento!$D$15),monitoramento!$E$15,IF(AND(L105=monitoramento!$C$16,M105=monitoramento!$D$16),monitoramento!$E$16,IF(AND(L105=monitoramento!$C$17,M105=monitoramento!$D$17),monitoramento!$E$17,IF(AND(L105=monitoramento!$C$18,M105=monitoramento!$D$18),monitoramento!$E$18,IF(AND(L105=monitoramento!$C$19,M105=monitoramento!$D$19),monitoramento!$E$19))))))))))))))))</f>
        <v>0</v>
      </c>
      <c r="O105" s="55"/>
      <c r="P105" s="55"/>
    </row>
    <row r="106" spans="8:16" ht="25.9" customHeight="1" thickBot="1" x14ac:dyDescent="0.25">
      <c r="H106" s="29">
        <f>AEP!BF111</f>
        <v>0</v>
      </c>
      <c r="I106" s="30">
        <f>AEP!BI111</f>
        <v>0</v>
      </c>
      <c r="J106" s="31">
        <f>AEP!BM111</f>
        <v>0</v>
      </c>
      <c r="K106" s="32" t="str">
        <f>IF(AND(I106=INCERTEZA!$B$3,J106=INCERTEZA!$C$3),INCERTEZA!$D$3,IF(AND(I106=INCERTEZA!$B$4,J106=INCERTEZA!$C$4),INCERTEZA!$D$4,IF(AND(I106=INCERTEZA!$B$5,J106=INCERTEZA!$C$5),INCERTEZA!$D$5,IF(AND(I106=INCERTEZA!$B$6,J106=INCERTEZA!$C$6),INCERTEZA!$D$6,IF(AND(I106=INCERTEZA!$B$7,J106=INCERTEZA!$C$7),INCERTEZA!$D$7,IF(AND(I106=INCERTEZA!$B$8,J106=INCERTEZA!$C$8),INCERTEZA!$D$8,IF(AND(I106=INCERTEZA!$B$9,J106=INCERTEZA!$C$9),INCERTEZA!$D$9,IF(AND(I106=INCERTEZA!$B$10,J106=INCERTEZA!$C$10),INCERTEZA!$D$10,IF(AND(I106=INCERTEZA!$B$11,J106=INCERTEZA!$C$11),INCERTEZA!$D$11,IF(AND(I106=INCERTEZA!$B$12,J106=INCERTEZA!$C$12),INCERTEZA!$D$12,IF(AND(I106=INCERTEZA!$B$13,J106=INCERTEZA!$C$13),INCERTEZA!$D$13,IF(AND(I106=INCERTEZA!$B$14,J106=INCERTEZA!$C$14),INCERTEZA!$D$14,IF(AND(I106=INCERTEZA!$B$15,J106=INCERTEZA!$C$15),INCERTEZA!$D$15,IF(AND(I106=INCERTEZA!$B$16,J106=INCERTEZA!$C$16),INCERTEZA!$D$16,IF(AND(I106=INCERTEZA!$B$17,J106=INCERTEZA!$C$17),INCERTEZA!$D$17,"-")))))))))))))))</f>
        <v>-</v>
      </c>
      <c r="L106" s="33">
        <f>AEP!CX111</f>
        <v>0</v>
      </c>
      <c r="M106" s="34">
        <f>AEP!CO111</f>
        <v>0</v>
      </c>
      <c r="N106" s="55" t="b">
        <f>IF(AND(L106=monitoramento!$C$4,M106=monitoramento!$D$4),monitoramento!$E$4,IF(AND(L106=monitoramento!$C$5,M106=monitoramento!$D$5),monitoramento!$E$5,IF(AND(L106=monitoramento!$C$6,M106=monitoramento!$D$6),monitoramento!$E$6,IF(AND(L106=monitoramento!$C$7,M106=monitoramento!$D$7),monitoramento!$E$7,IF(AND(L106=monitoramento!$C$8,M106=monitoramento!$D$8),monitoramento!$E$8,IF(AND(L106=monitoramento!$C$9,M106=monitoramento!$D$9),monitoramento!$E$9,IF(AND(L106=monitoramento!$C$10,M106=monitoramento!$D$10),monitoramento!$E$10,IF(AND(L106=monitoramento!$C$11,M106=monitoramento!$D$11),monitoramento!$E$11,IF(AND(L106=monitoramento!$C$12,M106=monitoramento!$D$12),monitoramento!$E$12,IF(AND(L106=monitoramento!$C$13,M106=monitoramento!$D$13),monitoramento!$E$13,IF(AND(L106=monitoramento!$C$14,M106=monitoramento!$D$14),monitoramento!$E$14,IF(AND(L106=monitoramento!$C$15,M106=monitoramento!$D$15),monitoramento!$E$15,IF(AND(L106=monitoramento!$C$16,M106=monitoramento!$D$16),monitoramento!$E$16,IF(AND(L106=monitoramento!$C$17,M106=monitoramento!$D$17),monitoramento!$E$17,IF(AND(L106=monitoramento!$C$18,M106=monitoramento!$D$18),monitoramento!$E$18,IF(AND(L106=monitoramento!$C$19,M106=monitoramento!$D$19),monitoramento!$E$19))))))))))))))))</f>
        <v>0</v>
      </c>
      <c r="O106" s="55"/>
      <c r="P106" s="55"/>
    </row>
    <row r="107" spans="8:16" ht="25.9" customHeight="1" thickBot="1" x14ac:dyDescent="0.25">
      <c r="H107" s="29">
        <f>AEP!BF112</f>
        <v>0</v>
      </c>
      <c r="I107" s="30">
        <f>AEP!BI112</f>
        <v>0</v>
      </c>
      <c r="J107" s="31">
        <f>AEP!BM112</f>
        <v>0</v>
      </c>
      <c r="K107" s="32" t="str">
        <f>IF(AND(I107=INCERTEZA!$B$3,J107=INCERTEZA!$C$3),INCERTEZA!$D$3,IF(AND(I107=INCERTEZA!$B$4,J107=INCERTEZA!$C$4),INCERTEZA!$D$4,IF(AND(I107=INCERTEZA!$B$5,J107=INCERTEZA!$C$5),INCERTEZA!$D$5,IF(AND(I107=INCERTEZA!$B$6,J107=INCERTEZA!$C$6),INCERTEZA!$D$6,IF(AND(I107=INCERTEZA!$B$7,J107=INCERTEZA!$C$7),INCERTEZA!$D$7,IF(AND(I107=INCERTEZA!$B$8,J107=INCERTEZA!$C$8),INCERTEZA!$D$8,IF(AND(I107=INCERTEZA!$B$9,J107=INCERTEZA!$C$9),INCERTEZA!$D$9,IF(AND(I107=INCERTEZA!$B$10,J107=INCERTEZA!$C$10),INCERTEZA!$D$10,IF(AND(I107=INCERTEZA!$B$11,J107=INCERTEZA!$C$11),INCERTEZA!$D$11,IF(AND(I107=INCERTEZA!$B$12,J107=INCERTEZA!$C$12),INCERTEZA!$D$12,IF(AND(I107=INCERTEZA!$B$13,J107=INCERTEZA!$C$13),INCERTEZA!$D$13,IF(AND(I107=INCERTEZA!$B$14,J107=INCERTEZA!$C$14),INCERTEZA!$D$14,IF(AND(I107=INCERTEZA!$B$15,J107=INCERTEZA!$C$15),INCERTEZA!$D$15,IF(AND(I107=INCERTEZA!$B$16,J107=INCERTEZA!$C$16),INCERTEZA!$D$16,IF(AND(I107=INCERTEZA!$B$17,J107=INCERTEZA!$C$17),INCERTEZA!$D$17,"-")))))))))))))))</f>
        <v>-</v>
      </c>
      <c r="L107" s="33">
        <f>AEP!CX112</f>
        <v>0</v>
      </c>
      <c r="M107" s="34">
        <f>AEP!CO112</f>
        <v>0</v>
      </c>
      <c r="N107" s="55" t="b">
        <f>IF(AND(L107=monitoramento!$C$4,M107=monitoramento!$D$4),monitoramento!$E$4,IF(AND(L107=monitoramento!$C$5,M107=monitoramento!$D$5),monitoramento!$E$5,IF(AND(L107=monitoramento!$C$6,M107=monitoramento!$D$6),monitoramento!$E$6,IF(AND(L107=monitoramento!$C$7,M107=monitoramento!$D$7),monitoramento!$E$7,IF(AND(L107=monitoramento!$C$8,M107=monitoramento!$D$8),monitoramento!$E$8,IF(AND(L107=monitoramento!$C$9,M107=monitoramento!$D$9),monitoramento!$E$9,IF(AND(L107=monitoramento!$C$10,M107=monitoramento!$D$10),monitoramento!$E$10,IF(AND(L107=monitoramento!$C$11,M107=monitoramento!$D$11),monitoramento!$E$11,IF(AND(L107=monitoramento!$C$12,M107=monitoramento!$D$12),monitoramento!$E$12,IF(AND(L107=monitoramento!$C$13,M107=monitoramento!$D$13),monitoramento!$E$13,IF(AND(L107=monitoramento!$C$14,M107=monitoramento!$D$14),monitoramento!$E$14,IF(AND(L107=monitoramento!$C$15,M107=monitoramento!$D$15),monitoramento!$E$15,IF(AND(L107=monitoramento!$C$16,M107=monitoramento!$D$16),monitoramento!$E$16,IF(AND(L107=monitoramento!$C$17,M107=monitoramento!$D$17),monitoramento!$E$17,IF(AND(L107=monitoramento!$C$18,M107=monitoramento!$D$18),monitoramento!$E$18,IF(AND(L107=monitoramento!$C$19,M107=monitoramento!$D$19),monitoramento!$E$19))))))))))))))))</f>
        <v>0</v>
      </c>
      <c r="O107" s="55"/>
      <c r="P107" s="55"/>
    </row>
    <row r="108" spans="8:16" ht="25.9" customHeight="1" thickBot="1" x14ac:dyDescent="0.25">
      <c r="H108" s="29">
        <f>AEP!BF113</f>
        <v>0</v>
      </c>
      <c r="I108" s="30">
        <f>AEP!BI113</f>
        <v>0</v>
      </c>
      <c r="J108" s="31">
        <f>AEP!BM113</f>
        <v>0</v>
      </c>
      <c r="K108" s="32" t="str">
        <f>IF(AND(I108=INCERTEZA!$B$3,J108=INCERTEZA!$C$3),INCERTEZA!$D$3,IF(AND(I108=INCERTEZA!$B$4,J108=INCERTEZA!$C$4),INCERTEZA!$D$4,IF(AND(I108=INCERTEZA!$B$5,J108=INCERTEZA!$C$5),INCERTEZA!$D$5,IF(AND(I108=INCERTEZA!$B$6,J108=INCERTEZA!$C$6),INCERTEZA!$D$6,IF(AND(I108=INCERTEZA!$B$7,J108=INCERTEZA!$C$7),INCERTEZA!$D$7,IF(AND(I108=INCERTEZA!$B$8,J108=INCERTEZA!$C$8),INCERTEZA!$D$8,IF(AND(I108=INCERTEZA!$B$9,J108=INCERTEZA!$C$9),INCERTEZA!$D$9,IF(AND(I108=INCERTEZA!$B$10,J108=INCERTEZA!$C$10),INCERTEZA!$D$10,IF(AND(I108=INCERTEZA!$B$11,J108=INCERTEZA!$C$11),INCERTEZA!$D$11,IF(AND(I108=INCERTEZA!$B$12,J108=INCERTEZA!$C$12),INCERTEZA!$D$12,IF(AND(I108=INCERTEZA!$B$13,J108=INCERTEZA!$C$13),INCERTEZA!$D$13,IF(AND(I108=INCERTEZA!$B$14,J108=INCERTEZA!$C$14),INCERTEZA!$D$14,IF(AND(I108=INCERTEZA!$B$15,J108=INCERTEZA!$C$15),INCERTEZA!$D$15,IF(AND(I108=INCERTEZA!$B$16,J108=INCERTEZA!$C$16),INCERTEZA!$D$16,IF(AND(I108=INCERTEZA!$B$17,J108=INCERTEZA!$C$17),INCERTEZA!$D$17,"-")))))))))))))))</f>
        <v>-</v>
      </c>
      <c r="L108" s="33">
        <f>AEP!CX113</f>
        <v>0</v>
      </c>
      <c r="M108" s="34">
        <f>AEP!CO113</f>
        <v>0</v>
      </c>
      <c r="N108" s="55" t="b">
        <f>IF(AND(L108=monitoramento!$C$4,M108=monitoramento!$D$4),monitoramento!$E$4,IF(AND(L108=monitoramento!$C$5,M108=monitoramento!$D$5),monitoramento!$E$5,IF(AND(L108=monitoramento!$C$6,M108=monitoramento!$D$6),monitoramento!$E$6,IF(AND(L108=monitoramento!$C$7,M108=monitoramento!$D$7),monitoramento!$E$7,IF(AND(L108=monitoramento!$C$8,M108=monitoramento!$D$8),monitoramento!$E$8,IF(AND(L108=monitoramento!$C$9,M108=monitoramento!$D$9),monitoramento!$E$9,IF(AND(L108=monitoramento!$C$10,M108=monitoramento!$D$10),monitoramento!$E$10,IF(AND(L108=monitoramento!$C$11,M108=monitoramento!$D$11),monitoramento!$E$11,IF(AND(L108=monitoramento!$C$12,M108=monitoramento!$D$12),monitoramento!$E$12,IF(AND(L108=monitoramento!$C$13,M108=monitoramento!$D$13),monitoramento!$E$13,IF(AND(L108=monitoramento!$C$14,M108=monitoramento!$D$14),monitoramento!$E$14,IF(AND(L108=monitoramento!$C$15,M108=monitoramento!$D$15),monitoramento!$E$15,IF(AND(L108=monitoramento!$C$16,M108=monitoramento!$D$16),monitoramento!$E$16,IF(AND(L108=monitoramento!$C$17,M108=monitoramento!$D$17),monitoramento!$E$17,IF(AND(L108=monitoramento!$C$18,M108=monitoramento!$D$18),monitoramento!$E$18,IF(AND(L108=monitoramento!$C$19,M108=monitoramento!$D$19),monitoramento!$E$19))))))))))))))))</f>
        <v>0</v>
      </c>
      <c r="O108" s="55"/>
      <c r="P108" s="55"/>
    </row>
    <row r="109" spans="8:16" ht="25.9" customHeight="1" thickBot="1" x14ac:dyDescent="0.25">
      <c r="H109" s="29">
        <f>AEP!BF114</f>
        <v>0</v>
      </c>
      <c r="I109" s="30">
        <f>AEP!BI114</f>
        <v>0</v>
      </c>
      <c r="J109" s="31">
        <f>AEP!BM114</f>
        <v>0</v>
      </c>
      <c r="K109" s="32" t="str">
        <f>IF(AND(I109=INCERTEZA!$B$3,J109=INCERTEZA!$C$3),INCERTEZA!$D$3,IF(AND(I109=INCERTEZA!$B$4,J109=INCERTEZA!$C$4),INCERTEZA!$D$4,IF(AND(I109=INCERTEZA!$B$5,J109=INCERTEZA!$C$5),INCERTEZA!$D$5,IF(AND(I109=INCERTEZA!$B$6,J109=INCERTEZA!$C$6),INCERTEZA!$D$6,IF(AND(I109=INCERTEZA!$B$7,J109=INCERTEZA!$C$7),INCERTEZA!$D$7,IF(AND(I109=INCERTEZA!$B$8,J109=INCERTEZA!$C$8),INCERTEZA!$D$8,IF(AND(I109=INCERTEZA!$B$9,J109=INCERTEZA!$C$9),INCERTEZA!$D$9,IF(AND(I109=INCERTEZA!$B$10,J109=INCERTEZA!$C$10),INCERTEZA!$D$10,IF(AND(I109=INCERTEZA!$B$11,J109=INCERTEZA!$C$11),INCERTEZA!$D$11,IF(AND(I109=INCERTEZA!$B$12,J109=INCERTEZA!$C$12),INCERTEZA!$D$12,IF(AND(I109=INCERTEZA!$B$13,J109=INCERTEZA!$C$13),INCERTEZA!$D$13,IF(AND(I109=INCERTEZA!$B$14,J109=INCERTEZA!$C$14),INCERTEZA!$D$14,IF(AND(I109=INCERTEZA!$B$15,J109=INCERTEZA!$C$15),INCERTEZA!$D$15,IF(AND(I109=INCERTEZA!$B$16,J109=INCERTEZA!$C$16),INCERTEZA!$D$16,IF(AND(I109=INCERTEZA!$B$17,J109=INCERTEZA!$C$17),INCERTEZA!$D$17,"-")))))))))))))))</f>
        <v>-</v>
      </c>
      <c r="L109" s="33">
        <f>AEP!CX114</f>
        <v>0</v>
      </c>
      <c r="M109" s="34">
        <f>AEP!CO114</f>
        <v>0</v>
      </c>
      <c r="N109" s="55" t="b">
        <f>IF(AND(L109=monitoramento!$C$4,M109=monitoramento!$D$4),monitoramento!$E$4,IF(AND(L109=monitoramento!$C$5,M109=monitoramento!$D$5),monitoramento!$E$5,IF(AND(L109=monitoramento!$C$6,M109=monitoramento!$D$6),monitoramento!$E$6,IF(AND(L109=monitoramento!$C$7,M109=monitoramento!$D$7),monitoramento!$E$7,IF(AND(L109=monitoramento!$C$8,M109=monitoramento!$D$8),monitoramento!$E$8,IF(AND(L109=monitoramento!$C$9,M109=monitoramento!$D$9),monitoramento!$E$9,IF(AND(L109=monitoramento!$C$10,M109=monitoramento!$D$10),monitoramento!$E$10,IF(AND(L109=monitoramento!$C$11,M109=monitoramento!$D$11),monitoramento!$E$11,IF(AND(L109=monitoramento!$C$12,M109=monitoramento!$D$12),monitoramento!$E$12,IF(AND(L109=monitoramento!$C$13,M109=monitoramento!$D$13),monitoramento!$E$13,IF(AND(L109=monitoramento!$C$14,M109=monitoramento!$D$14),monitoramento!$E$14,IF(AND(L109=monitoramento!$C$15,M109=monitoramento!$D$15),monitoramento!$E$15,IF(AND(L109=monitoramento!$C$16,M109=monitoramento!$D$16),monitoramento!$E$16,IF(AND(L109=monitoramento!$C$17,M109=monitoramento!$D$17),monitoramento!$E$17,IF(AND(L109=monitoramento!$C$18,M109=monitoramento!$D$18),monitoramento!$E$18,IF(AND(L109=monitoramento!$C$19,M109=monitoramento!$D$19),monitoramento!$E$19))))))))))))))))</f>
        <v>0</v>
      </c>
      <c r="O109" s="55"/>
      <c r="P109" s="55"/>
    </row>
    <row r="110" spans="8:16" ht="25.9" customHeight="1" thickBot="1" x14ac:dyDescent="0.25">
      <c r="H110" s="29">
        <f>AEP!BF115</f>
        <v>0</v>
      </c>
      <c r="I110" s="30">
        <f>AEP!BI115</f>
        <v>0</v>
      </c>
      <c r="J110" s="31">
        <f>AEP!BM115</f>
        <v>0</v>
      </c>
      <c r="K110" s="32" t="str">
        <f>IF(AND(I110=INCERTEZA!$B$3,J110=INCERTEZA!$C$3),INCERTEZA!$D$3,IF(AND(I110=INCERTEZA!$B$4,J110=INCERTEZA!$C$4),INCERTEZA!$D$4,IF(AND(I110=INCERTEZA!$B$5,J110=INCERTEZA!$C$5),INCERTEZA!$D$5,IF(AND(I110=INCERTEZA!$B$6,J110=INCERTEZA!$C$6),INCERTEZA!$D$6,IF(AND(I110=INCERTEZA!$B$7,J110=INCERTEZA!$C$7),INCERTEZA!$D$7,IF(AND(I110=INCERTEZA!$B$8,J110=INCERTEZA!$C$8),INCERTEZA!$D$8,IF(AND(I110=INCERTEZA!$B$9,J110=INCERTEZA!$C$9),INCERTEZA!$D$9,IF(AND(I110=INCERTEZA!$B$10,J110=INCERTEZA!$C$10),INCERTEZA!$D$10,IF(AND(I110=INCERTEZA!$B$11,J110=INCERTEZA!$C$11),INCERTEZA!$D$11,IF(AND(I110=INCERTEZA!$B$12,J110=INCERTEZA!$C$12),INCERTEZA!$D$12,IF(AND(I110=INCERTEZA!$B$13,J110=INCERTEZA!$C$13),INCERTEZA!$D$13,IF(AND(I110=INCERTEZA!$B$14,J110=INCERTEZA!$C$14),INCERTEZA!$D$14,IF(AND(I110=INCERTEZA!$B$15,J110=INCERTEZA!$C$15),INCERTEZA!$D$15,IF(AND(I110=INCERTEZA!$B$16,J110=INCERTEZA!$C$16),INCERTEZA!$D$16,IF(AND(I110=INCERTEZA!$B$17,J110=INCERTEZA!$C$17),INCERTEZA!$D$17,"-")))))))))))))))</f>
        <v>-</v>
      </c>
      <c r="L110" s="33">
        <f>AEP!CX115</f>
        <v>0</v>
      </c>
      <c r="M110" s="34">
        <f>AEP!CO115</f>
        <v>0</v>
      </c>
      <c r="N110" s="55" t="b">
        <f>IF(AND(L110=monitoramento!$C$4,M110=monitoramento!$D$4),monitoramento!$E$4,IF(AND(L110=monitoramento!$C$5,M110=monitoramento!$D$5),monitoramento!$E$5,IF(AND(L110=monitoramento!$C$6,M110=monitoramento!$D$6),monitoramento!$E$6,IF(AND(L110=monitoramento!$C$7,M110=monitoramento!$D$7),monitoramento!$E$7,IF(AND(L110=monitoramento!$C$8,M110=monitoramento!$D$8),monitoramento!$E$8,IF(AND(L110=monitoramento!$C$9,M110=monitoramento!$D$9),monitoramento!$E$9,IF(AND(L110=monitoramento!$C$10,M110=monitoramento!$D$10),monitoramento!$E$10,IF(AND(L110=monitoramento!$C$11,M110=monitoramento!$D$11),monitoramento!$E$11,IF(AND(L110=monitoramento!$C$12,M110=monitoramento!$D$12),monitoramento!$E$12,IF(AND(L110=monitoramento!$C$13,M110=monitoramento!$D$13),monitoramento!$E$13,IF(AND(L110=monitoramento!$C$14,M110=monitoramento!$D$14),monitoramento!$E$14,IF(AND(L110=monitoramento!$C$15,M110=monitoramento!$D$15),monitoramento!$E$15,IF(AND(L110=monitoramento!$C$16,M110=monitoramento!$D$16),monitoramento!$E$16,IF(AND(L110=monitoramento!$C$17,M110=monitoramento!$D$17),monitoramento!$E$17,IF(AND(L110=monitoramento!$C$18,M110=monitoramento!$D$18),monitoramento!$E$18,IF(AND(L110=monitoramento!$C$19,M110=monitoramento!$D$19),monitoramento!$E$19))))))))))))))))</f>
        <v>0</v>
      </c>
      <c r="O110" s="55"/>
      <c r="P110" s="55"/>
    </row>
    <row r="111" spans="8:16" ht="25.9" customHeight="1" thickBot="1" x14ac:dyDescent="0.25">
      <c r="H111" s="29">
        <f>AEP!BF116</f>
        <v>0</v>
      </c>
      <c r="I111" s="30">
        <f>AEP!BI116</f>
        <v>0</v>
      </c>
      <c r="J111" s="31">
        <f>AEP!BM116</f>
        <v>0</v>
      </c>
      <c r="K111" s="32" t="str">
        <f>IF(AND(I111=INCERTEZA!$B$3,J111=INCERTEZA!$C$3),INCERTEZA!$D$3,IF(AND(I111=INCERTEZA!$B$4,J111=INCERTEZA!$C$4),INCERTEZA!$D$4,IF(AND(I111=INCERTEZA!$B$5,J111=INCERTEZA!$C$5),INCERTEZA!$D$5,IF(AND(I111=INCERTEZA!$B$6,J111=INCERTEZA!$C$6),INCERTEZA!$D$6,IF(AND(I111=INCERTEZA!$B$7,J111=INCERTEZA!$C$7),INCERTEZA!$D$7,IF(AND(I111=INCERTEZA!$B$8,J111=INCERTEZA!$C$8),INCERTEZA!$D$8,IF(AND(I111=INCERTEZA!$B$9,J111=INCERTEZA!$C$9),INCERTEZA!$D$9,IF(AND(I111=INCERTEZA!$B$10,J111=INCERTEZA!$C$10),INCERTEZA!$D$10,IF(AND(I111=INCERTEZA!$B$11,J111=INCERTEZA!$C$11),INCERTEZA!$D$11,IF(AND(I111=INCERTEZA!$B$12,J111=INCERTEZA!$C$12),INCERTEZA!$D$12,IF(AND(I111=INCERTEZA!$B$13,J111=INCERTEZA!$C$13),INCERTEZA!$D$13,IF(AND(I111=INCERTEZA!$B$14,J111=INCERTEZA!$C$14),INCERTEZA!$D$14,IF(AND(I111=INCERTEZA!$B$15,J111=INCERTEZA!$C$15),INCERTEZA!$D$15,IF(AND(I111=INCERTEZA!$B$16,J111=INCERTEZA!$C$16),INCERTEZA!$D$16,IF(AND(I111=INCERTEZA!$B$17,J111=INCERTEZA!$C$17),INCERTEZA!$D$17,"-")))))))))))))))</f>
        <v>-</v>
      </c>
      <c r="L111" s="33">
        <f>AEP!CX116</f>
        <v>0</v>
      </c>
      <c r="M111" s="34">
        <f>AEP!CO116</f>
        <v>0</v>
      </c>
      <c r="N111" s="55" t="b">
        <f>IF(AND(L111=monitoramento!$C$4,M111=monitoramento!$D$4),monitoramento!$E$4,IF(AND(L111=monitoramento!$C$5,M111=monitoramento!$D$5),monitoramento!$E$5,IF(AND(L111=monitoramento!$C$6,M111=monitoramento!$D$6),monitoramento!$E$6,IF(AND(L111=monitoramento!$C$7,M111=monitoramento!$D$7),monitoramento!$E$7,IF(AND(L111=monitoramento!$C$8,M111=monitoramento!$D$8),monitoramento!$E$8,IF(AND(L111=monitoramento!$C$9,M111=monitoramento!$D$9),monitoramento!$E$9,IF(AND(L111=monitoramento!$C$10,M111=monitoramento!$D$10),monitoramento!$E$10,IF(AND(L111=monitoramento!$C$11,M111=monitoramento!$D$11),monitoramento!$E$11,IF(AND(L111=monitoramento!$C$12,M111=monitoramento!$D$12),monitoramento!$E$12,IF(AND(L111=monitoramento!$C$13,M111=monitoramento!$D$13),monitoramento!$E$13,IF(AND(L111=monitoramento!$C$14,M111=monitoramento!$D$14),monitoramento!$E$14,IF(AND(L111=monitoramento!$C$15,M111=monitoramento!$D$15),monitoramento!$E$15,IF(AND(L111=monitoramento!$C$16,M111=monitoramento!$D$16),monitoramento!$E$16,IF(AND(L111=monitoramento!$C$17,M111=monitoramento!$D$17),monitoramento!$E$17,IF(AND(L111=monitoramento!$C$18,M111=monitoramento!$D$18),monitoramento!$E$18,IF(AND(L111=monitoramento!$C$19,M111=monitoramento!$D$19),monitoramento!$E$19))))))))))))))))</f>
        <v>0</v>
      </c>
      <c r="O111" s="55"/>
      <c r="P111" s="55"/>
    </row>
    <row r="112" spans="8:16" ht="25.9" customHeight="1" thickBot="1" x14ac:dyDescent="0.25">
      <c r="H112" s="29">
        <f>AEP!BF117</f>
        <v>0</v>
      </c>
      <c r="I112" s="30">
        <f>AEP!BI117</f>
        <v>0</v>
      </c>
      <c r="J112" s="31">
        <f>AEP!BM117</f>
        <v>0</v>
      </c>
      <c r="K112" s="32" t="str">
        <f>IF(AND(I112=INCERTEZA!$B$3,J112=INCERTEZA!$C$3),INCERTEZA!$D$3,IF(AND(I112=INCERTEZA!$B$4,J112=INCERTEZA!$C$4),INCERTEZA!$D$4,IF(AND(I112=INCERTEZA!$B$5,J112=INCERTEZA!$C$5),INCERTEZA!$D$5,IF(AND(I112=INCERTEZA!$B$6,J112=INCERTEZA!$C$6),INCERTEZA!$D$6,IF(AND(I112=INCERTEZA!$B$7,J112=INCERTEZA!$C$7),INCERTEZA!$D$7,IF(AND(I112=INCERTEZA!$B$8,J112=INCERTEZA!$C$8),INCERTEZA!$D$8,IF(AND(I112=INCERTEZA!$B$9,J112=INCERTEZA!$C$9),INCERTEZA!$D$9,IF(AND(I112=INCERTEZA!$B$10,J112=INCERTEZA!$C$10),INCERTEZA!$D$10,IF(AND(I112=INCERTEZA!$B$11,J112=INCERTEZA!$C$11),INCERTEZA!$D$11,IF(AND(I112=INCERTEZA!$B$12,J112=INCERTEZA!$C$12),INCERTEZA!$D$12,IF(AND(I112=INCERTEZA!$B$13,J112=INCERTEZA!$C$13),INCERTEZA!$D$13,IF(AND(I112=INCERTEZA!$B$14,J112=INCERTEZA!$C$14),INCERTEZA!$D$14,IF(AND(I112=INCERTEZA!$B$15,J112=INCERTEZA!$C$15),INCERTEZA!$D$15,IF(AND(I112=INCERTEZA!$B$16,J112=INCERTEZA!$C$16),INCERTEZA!$D$16,IF(AND(I112=INCERTEZA!$B$17,J112=INCERTEZA!$C$17),INCERTEZA!$D$17,"-")))))))))))))))</f>
        <v>-</v>
      </c>
      <c r="L112" s="33">
        <f>AEP!CX117</f>
        <v>0</v>
      </c>
      <c r="M112" s="34">
        <f>AEP!CO117</f>
        <v>0</v>
      </c>
      <c r="N112" s="55" t="b">
        <f>IF(AND(L112=monitoramento!$C$4,M112=monitoramento!$D$4),monitoramento!$E$4,IF(AND(L112=monitoramento!$C$5,M112=monitoramento!$D$5),monitoramento!$E$5,IF(AND(L112=monitoramento!$C$6,M112=monitoramento!$D$6),monitoramento!$E$6,IF(AND(L112=monitoramento!$C$7,M112=monitoramento!$D$7),monitoramento!$E$7,IF(AND(L112=monitoramento!$C$8,M112=monitoramento!$D$8),monitoramento!$E$8,IF(AND(L112=monitoramento!$C$9,M112=monitoramento!$D$9),monitoramento!$E$9,IF(AND(L112=monitoramento!$C$10,M112=monitoramento!$D$10),monitoramento!$E$10,IF(AND(L112=monitoramento!$C$11,M112=monitoramento!$D$11),monitoramento!$E$11,IF(AND(L112=monitoramento!$C$12,M112=monitoramento!$D$12),monitoramento!$E$12,IF(AND(L112=monitoramento!$C$13,M112=monitoramento!$D$13),monitoramento!$E$13,IF(AND(L112=monitoramento!$C$14,M112=monitoramento!$D$14),monitoramento!$E$14,IF(AND(L112=monitoramento!$C$15,M112=monitoramento!$D$15),monitoramento!$E$15,IF(AND(L112=monitoramento!$C$16,M112=monitoramento!$D$16),monitoramento!$E$16,IF(AND(L112=monitoramento!$C$17,M112=monitoramento!$D$17),monitoramento!$E$17,IF(AND(L112=monitoramento!$C$18,M112=monitoramento!$D$18),monitoramento!$E$18,IF(AND(L112=monitoramento!$C$19,M112=monitoramento!$D$19),monitoramento!$E$19))))))))))))))))</f>
        <v>0</v>
      </c>
      <c r="O112" s="55"/>
      <c r="P112" s="55"/>
    </row>
    <row r="113" spans="8:16" ht="25.9" customHeight="1" thickBot="1" x14ac:dyDescent="0.25">
      <c r="H113" s="29">
        <f>AEP!BF118</f>
        <v>0</v>
      </c>
      <c r="I113" s="30">
        <f>AEP!BI118</f>
        <v>0</v>
      </c>
      <c r="J113" s="31">
        <f>AEP!BM118</f>
        <v>0</v>
      </c>
      <c r="K113" s="32" t="str">
        <f>IF(AND(I113=INCERTEZA!$B$3,J113=INCERTEZA!$C$3),INCERTEZA!$D$3,IF(AND(I113=INCERTEZA!$B$4,J113=INCERTEZA!$C$4),INCERTEZA!$D$4,IF(AND(I113=INCERTEZA!$B$5,J113=INCERTEZA!$C$5),INCERTEZA!$D$5,IF(AND(I113=INCERTEZA!$B$6,J113=INCERTEZA!$C$6),INCERTEZA!$D$6,IF(AND(I113=INCERTEZA!$B$7,J113=INCERTEZA!$C$7),INCERTEZA!$D$7,IF(AND(I113=INCERTEZA!$B$8,J113=INCERTEZA!$C$8),INCERTEZA!$D$8,IF(AND(I113=INCERTEZA!$B$9,J113=INCERTEZA!$C$9),INCERTEZA!$D$9,IF(AND(I113=INCERTEZA!$B$10,J113=INCERTEZA!$C$10),INCERTEZA!$D$10,IF(AND(I113=INCERTEZA!$B$11,J113=INCERTEZA!$C$11),INCERTEZA!$D$11,IF(AND(I113=INCERTEZA!$B$12,J113=INCERTEZA!$C$12),INCERTEZA!$D$12,IF(AND(I113=INCERTEZA!$B$13,J113=INCERTEZA!$C$13),INCERTEZA!$D$13,IF(AND(I113=INCERTEZA!$B$14,J113=INCERTEZA!$C$14),INCERTEZA!$D$14,IF(AND(I113=INCERTEZA!$B$15,J113=INCERTEZA!$C$15),INCERTEZA!$D$15,IF(AND(I113=INCERTEZA!$B$16,J113=INCERTEZA!$C$16),INCERTEZA!$D$16,IF(AND(I113=INCERTEZA!$B$17,J113=INCERTEZA!$C$17),INCERTEZA!$D$17,"-")))))))))))))))</f>
        <v>-</v>
      </c>
      <c r="L113" s="33">
        <f>AEP!CX118</f>
        <v>0</v>
      </c>
      <c r="M113" s="34">
        <f>AEP!CO118</f>
        <v>0</v>
      </c>
      <c r="N113" s="55" t="b">
        <f>IF(AND(L113=monitoramento!$C$4,M113=monitoramento!$D$4),monitoramento!$E$4,IF(AND(L113=monitoramento!$C$5,M113=monitoramento!$D$5),monitoramento!$E$5,IF(AND(L113=monitoramento!$C$6,M113=monitoramento!$D$6),monitoramento!$E$6,IF(AND(L113=monitoramento!$C$7,M113=monitoramento!$D$7),monitoramento!$E$7,IF(AND(L113=monitoramento!$C$8,M113=monitoramento!$D$8),monitoramento!$E$8,IF(AND(L113=monitoramento!$C$9,M113=monitoramento!$D$9),monitoramento!$E$9,IF(AND(L113=monitoramento!$C$10,M113=monitoramento!$D$10),monitoramento!$E$10,IF(AND(L113=monitoramento!$C$11,M113=monitoramento!$D$11),monitoramento!$E$11,IF(AND(L113=monitoramento!$C$12,M113=monitoramento!$D$12),monitoramento!$E$12,IF(AND(L113=monitoramento!$C$13,M113=monitoramento!$D$13),monitoramento!$E$13,IF(AND(L113=monitoramento!$C$14,M113=monitoramento!$D$14),monitoramento!$E$14,IF(AND(L113=monitoramento!$C$15,M113=monitoramento!$D$15),monitoramento!$E$15,IF(AND(L113=monitoramento!$C$16,M113=monitoramento!$D$16),monitoramento!$E$16,IF(AND(L113=monitoramento!$C$17,M113=monitoramento!$D$17),monitoramento!$E$17,IF(AND(L113=monitoramento!$C$18,M113=monitoramento!$D$18),monitoramento!$E$18,IF(AND(L113=monitoramento!$C$19,M113=monitoramento!$D$19),monitoramento!$E$19))))))))))))))))</f>
        <v>0</v>
      </c>
      <c r="O113" s="55"/>
      <c r="P113" s="55"/>
    </row>
    <row r="114" spans="8:16" ht="25.9" customHeight="1" thickBot="1" x14ac:dyDescent="0.25">
      <c r="H114" s="29">
        <f>AEP!BF119</f>
        <v>0</v>
      </c>
      <c r="I114" s="30">
        <f>AEP!BI119</f>
        <v>0</v>
      </c>
      <c r="J114" s="31">
        <f>AEP!BM119</f>
        <v>0</v>
      </c>
      <c r="K114" s="32" t="str">
        <f>IF(AND(I114=INCERTEZA!$B$3,J114=INCERTEZA!$C$3),INCERTEZA!$D$3,IF(AND(I114=INCERTEZA!$B$4,J114=INCERTEZA!$C$4),INCERTEZA!$D$4,IF(AND(I114=INCERTEZA!$B$5,J114=INCERTEZA!$C$5),INCERTEZA!$D$5,IF(AND(I114=INCERTEZA!$B$6,J114=INCERTEZA!$C$6),INCERTEZA!$D$6,IF(AND(I114=INCERTEZA!$B$7,J114=INCERTEZA!$C$7),INCERTEZA!$D$7,IF(AND(I114=INCERTEZA!$B$8,J114=INCERTEZA!$C$8),INCERTEZA!$D$8,IF(AND(I114=INCERTEZA!$B$9,J114=INCERTEZA!$C$9),INCERTEZA!$D$9,IF(AND(I114=INCERTEZA!$B$10,J114=INCERTEZA!$C$10),INCERTEZA!$D$10,IF(AND(I114=INCERTEZA!$B$11,J114=INCERTEZA!$C$11),INCERTEZA!$D$11,IF(AND(I114=INCERTEZA!$B$12,J114=INCERTEZA!$C$12),INCERTEZA!$D$12,IF(AND(I114=INCERTEZA!$B$13,J114=INCERTEZA!$C$13),INCERTEZA!$D$13,IF(AND(I114=INCERTEZA!$B$14,J114=INCERTEZA!$C$14),INCERTEZA!$D$14,IF(AND(I114=INCERTEZA!$B$15,J114=INCERTEZA!$C$15),INCERTEZA!$D$15,IF(AND(I114=INCERTEZA!$B$16,J114=INCERTEZA!$C$16),INCERTEZA!$D$16,IF(AND(I114=INCERTEZA!$B$17,J114=INCERTEZA!$C$17),INCERTEZA!$D$17,"-")))))))))))))))</f>
        <v>-</v>
      </c>
      <c r="L114" s="33">
        <f>AEP!CX119</f>
        <v>0</v>
      </c>
      <c r="M114" s="34">
        <f>AEP!CO119</f>
        <v>0</v>
      </c>
      <c r="N114" s="55" t="b">
        <f>IF(AND(L114=monitoramento!$C$4,M114=monitoramento!$D$4),monitoramento!$E$4,IF(AND(L114=monitoramento!$C$5,M114=monitoramento!$D$5),monitoramento!$E$5,IF(AND(L114=monitoramento!$C$6,M114=monitoramento!$D$6),monitoramento!$E$6,IF(AND(L114=monitoramento!$C$7,M114=monitoramento!$D$7),monitoramento!$E$7,IF(AND(L114=monitoramento!$C$8,M114=monitoramento!$D$8),monitoramento!$E$8,IF(AND(L114=monitoramento!$C$9,M114=monitoramento!$D$9),monitoramento!$E$9,IF(AND(L114=monitoramento!$C$10,M114=monitoramento!$D$10),monitoramento!$E$10,IF(AND(L114=monitoramento!$C$11,M114=monitoramento!$D$11),monitoramento!$E$11,IF(AND(L114=monitoramento!$C$12,M114=monitoramento!$D$12),monitoramento!$E$12,IF(AND(L114=monitoramento!$C$13,M114=monitoramento!$D$13),monitoramento!$E$13,IF(AND(L114=monitoramento!$C$14,M114=monitoramento!$D$14),monitoramento!$E$14,IF(AND(L114=monitoramento!$C$15,M114=monitoramento!$D$15),monitoramento!$E$15,IF(AND(L114=monitoramento!$C$16,M114=monitoramento!$D$16),monitoramento!$E$16,IF(AND(L114=monitoramento!$C$17,M114=monitoramento!$D$17),monitoramento!$E$17,IF(AND(L114=monitoramento!$C$18,M114=monitoramento!$D$18),monitoramento!$E$18,IF(AND(L114=monitoramento!$C$19,M114=monitoramento!$D$19),monitoramento!$E$19))))))))))))))))</f>
        <v>0</v>
      </c>
      <c r="O114" s="55"/>
      <c r="P114" s="55"/>
    </row>
    <row r="115" spans="8:16" ht="25.9" customHeight="1" thickBot="1" x14ac:dyDescent="0.25">
      <c r="H115" s="29">
        <f>AEP!BF120</f>
        <v>0</v>
      </c>
      <c r="I115" s="30">
        <f>AEP!BI120</f>
        <v>0</v>
      </c>
      <c r="J115" s="31">
        <f>AEP!BM120</f>
        <v>0</v>
      </c>
      <c r="K115" s="32" t="str">
        <f>IF(AND(I115=INCERTEZA!$B$3,J115=INCERTEZA!$C$3),INCERTEZA!$D$3,IF(AND(I115=INCERTEZA!$B$4,J115=INCERTEZA!$C$4),INCERTEZA!$D$4,IF(AND(I115=INCERTEZA!$B$5,J115=INCERTEZA!$C$5),INCERTEZA!$D$5,IF(AND(I115=INCERTEZA!$B$6,J115=INCERTEZA!$C$6),INCERTEZA!$D$6,IF(AND(I115=INCERTEZA!$B$7,J115=INCERTEZA!$C$7),INCERTEZA!$D$7,IF(AND(I115=INCERTEZA!$B$8,J115=INCERTEZA!$C$8),INCERTEZA!$D$8,IF(AND(I115=INCERTEZA!$B$9,J115=INCERTEZA!$C$9),INCERTEZA!$D$9,IF(AND(I115=INCERTEZA!$B$10,J115=INCERTEZA!$C$10),INCERTEZA!$D$10,IF(AND(I115=INCERTEZA!$B$11,J115=INCERTEZA!$C$11),INCERTEZA!$D$11,IF(AND(I115=INCERTEZA!$B$12,J115=INCERTEZA!$C$12),INCERTEZA!$D$12,IF(AND(I115=INCERTEZA!$B$13,J115=INCERTEZA!$C$13),INCERTEZA!$D$13,IF(AND(I115=INCERTEZA!$B$14,J115=INCERTEZA!$C$14),INCERTEZA!$D$14,IF(AND(I115=INCERTEZA!$B$15,J115=INCERTEZA!$C$15),INCERTEZA!$D$15,IF(AND(I115=INCERTEZA!$B$16,J115=INCERTEZA!$C$16),INCERTEZA!$D$16,IF(AND(I115=INCERTEZA!$B$17,J115=INCERTEZA!$C$17),INCERTEZA!$D$17,"-")))))))))))))))</f>
        <v>-</v>
      </c>
      <c r="L115" s="33">
        <f>AEP!CX120</f>
        <v>0</v>
      </c>
      <c r="M115" s="34">
        <f>AEP!CO120</f>
        <v>0</v>
      </c>
      <c r="N115" s="55" t="b">
        <f>IF(AND(L115=monitoramento!$C$4,M115=monitoramento!$D$4),monitoramento!$E$4,IF(AND(L115=monitoramento!$C$5,M115=monitoramento!$D$5),monitoramento!$E$5,IF(AND(L115=monitoramento!$C$6,M115=monitoramento!$D$6),monitoramento!$E$6,IF(AND(L115=monitoramento!$C$7,M115=monitoramento!$D$7),monitoramento!$E$7,IF(AND(L115=monitoramento!$C$8,M115=monitoramento!$D$8),monitoramento!$E$8,IF(AND(L115=monitoramento!$C$9,M115=monitoramento!$D$9),monitoramento!$E$9,IF(AND(L115=monitoramento!$C$10,M115=monitoramento!$D$10),monitoramento!$E$10,IF(AND(L115=monitoramento!$C$11,M115=monitoramento!$D$11),monitoramento!$E$11,IF(AND(L115=monitoramento!$C$12,M115=monitoramento!$D$12),monitoramento!$E$12,IF(AND(L115=monitoramento!$C$13,M115=monitoramento!$D$13),monitoramento!$E$13,IF(AND(L115=monitoramento!$C$14,M115=monitoramento!$D$14),monitoramento!$E$14,IF(AND(L115=monitoramento!$C$15,M115=monitoramento!$D$15),monitoramento!$E$15,IF(AND(L115=monitoramento!$C$16,M115=monitoramento!$D$16),monitoramento!$E$16,IF(AND(L115=monitoramento!$C$17,M115=monitoramento!$D$17),monitoramento!$E$17,IF(AND(L115=monitoramento!$C$18,M115=monitoramento!$D$18),monitoramento!$E$18,IF(AND(L115=monitoramento!$C$19,M115=monitoramento!$D$19),monitoramento!$E$19))))))))))))))))</f>
        <v>0</v>
      </c>
      <c r="O115" s="55"/>
      <c r="P115" s="55"/>
    </row>
    <row r="116" spans="8:16" ht="25.9" customHeight="1" thickBot="1" x14ac:dyDescent="0.25">
      <c r="H116" s="29">
        <f>AEP!BF121</f>
        <v>0</v>
      </c>
      <c r="I116" s="30">
        <f>AEP!BI121</f>
        <v>0</v>
      </c>
      <c r="J116" s="31">
        <f>AEP!BM121</f>
        <v>0</v>
      </c>
      <c r="K116" s="32" t="str">
        <f>IF(AND(I116=INCERTEZA!$B$3,J116=INCERTEZA!$C$3),INCERTEZA!$D$3,IF(AND(I116=INCERTEZA!$B$4,J116=INCERTEZA!$C$4),INCERTEZA!$D$4,IF(AND(I116=INCERTEZA!$B$5,J116=INCERTEZA!$C$5),INCERTEZA!$D$5,IF(AND(I116=INCERTEZA!$B$6,J116=INCERTEZA!$C$6),INCERTEZA!$D$6,IF(AND(I116=INCERTEZA!$B$7,J116=INCERTEZA!$C$7),INCERTEZA!$D$7,IF(AND(I116=INCERTEZA!$B$8,J116=INCERTEZA!$C$8),INCERTEZA!$D$8,IF(AND(I116=INCERTEZA!$B$9,J116=INCERTEZA!$C$9),INCERTEZA!$D$9,IF(AND(I116=INCERTEZA!$B$10,J116=INCERTEZA!$C$10),INCERTEZA!$D$10,IF(AND(I116=INCERTEZA!$B$11,J116=INCERTEZA!$C$11),INCERTEZA!$D$11,IF(AND(I116=INCERTEZA!$B$12,J116=INCERTEZA!$C$12),INCERTEZA!$D$12,IF(AND(I116=INCERTEZA!$B$13,J116=INCERTEZA!$C$13),INCERTEZA!$D$13,IF(AND(I116=INCERTEZA!$B$14,J116=INCERTEZA!$C$14),INCERTEZA!$D$14,IF(AND(I116=INCERTEZA!$B$15,J116=INCERTEZA!$C$15),INCERTEZA!$D$15,IF(AND(I116=INCERTEZA!$B$16,J116=INCERTEZA!$C$16),INCERTEZA!$D$16,IF(AND(I116=INCERTEZA!$B$17,J116=INCERTEZA!$C$17),INCERTEZA!$D$17,"-")))))))))))))))</f>
        <v>-</v>
      </c>
      <c r="L116" s="33">
        <f>AEP!CX121</f>
        <v>0</v>
      </c>
      <c r="M116" s="34">
        <f>AEP!CO121</f>
        <v>0</v>
      </c>
      <c r="N116" s="55" t="b">
        <f>IF(AND(L116=monitoramento!$C$4,M116=monitoramento!$D$4),monitoramento!$E$4,IF(AND(L116=monitoramento!$C$5,M116=monitoramento!$D$5),monitoramento!$E$5,IF(AND(L116=monitoramento!$C$6,M116=monitoramento!$D$6),monitoramento!$E$6,IF(AND(L116=monitoramento!$C$7,M116=monitoramento!$D$7),monitoramento!$E$7,IF(AND(L116=monitoramento!$C$8,M116=monitoramento!$D$8),monitoramento!$E$8,IF(AND(L116=monitoramento!$C$9,M116=monitoramento!$D$9),monitoramento!$E$9,IF(AND(L116=monitoramento!$C$10,M116=monitoramento!$D$10),monitoramento!$E$10,IF(AND(L116=monitoramento!$C$11,M116=monitoramento!$D$11),monitoramento!$E$11,IF(AND(L116=monitoramento!$C$12,M116=monitoramento!$D$12),monitoramento!$E$12,IF(AND(L116=monitoramento!$C$13,M116=monitoramento!$D$13),monitoramento!$E$13,IF(AND(L116=monitoramento!$C$14,M116=monitoramento!$D$14),monitoramento!$E$14,IF(AND(L116=monitoramento!$C$15,M116=monitoramento!$D$15),monitoramento!$E$15,IF(AND(L116=monitoramento!$C$16,M116=monitoramento!$D$16),monitoramento!$E$16,IF(AND(L116=monitoramento!$C$17,M116=monitoramento!$D$17),monitoramento!$E$17,IF(AND(L116=monitoramento!$C$18,M116=monitoramento!$D$18),monitoramento!$E$18,IF(AND(L116=monitoramento!$C$19,M116=monitoramento!$D$19),monitoramento!$E$19))))))))))))))))</f>
        <v>0</v>
      </c>
      <c r="O116" s="55"/>
      <c r="P116" s="55"/>
    </row>
    <row r="117" spans="8:16" ht="25.9" customHeight="1" thickBot="1" x14ac:dyDescent="0.25">
      <c r="H117" s="29">
        <f>AEP!BF122</f>
        <v>0</v>
      </c>
      <c r="I117" s="30">
        <f>AEP!BI122</f>
        <v>0</v>
      </c>
      <c r="J117" s="31">
        <f>AEP!BM122</f>
        <v>0</v>
      </c>
      <c r="K117" s="32" t="str">
        <f>IF(AND(I117=INCERTEZA!$B$3,J117=INCERTEZA!$C$3),INCERTEZA!$D$3,IF(AND(I117=INCERTEZA!$B$4,J117=INCERTEZA!$C$4),INCERTEZA!$D$4,IF(AND(I117=INCERTEZA!$B$5,J117=INCERTEZA!$C$5),INCERTEZA!$D$5,IF(AND(I117=INCERTEZA!$B$6,J117=INCERTEZA!$C$6),INCERTEZA!$D$6,IF(AND(I117=INCERTEZA!$B$7,J117=INCERTEZA!$C$7),INCERTEZA!$D$7,IF(AND(I117=INCERTEZA!$B$8,J117=INCERTEZA!$C$8),INCERTEZA!$D$8,IF(AND(I117=INCERTEZA!$B$9,J117=INCERTEZA!$C$9),INCERTEZA!$D$9,IF(AND(I117=INCERTEZA!$B$10,J117=INCERTEZA!$C$10),INCERTEZA!$D$10,IF(AND(I117=INCERTEZA!$B$11,J117=INCERTEZA!$C$11),INCERTEZA!$D$11,IF(AND(I117=INCERTEZA!$B$12,J117=INCERTEZA!$C$12),INCERTEZA!$D$12,IF(AND(I117=INCERTEZA!$B$13,J117=INCERTEZA!$C$13),INCERTEZA!$D$13,IF(AND(I117=INCERTEZA!$B$14,J117=INCERTEZA!$C$14),INCERTEZA!$D$14,IF(AND(I117=INCERTEZA!$B$15,J117=INCERTEZA!$C$15),INCERTEZA!$D$15,IF(AND(I117=INCERTEZA!$B$16,J117=INCERTEZA!$C$16),INCERTEZA!$D$16,IF(AND(I117=INCERTEZA!$B$17,J117=INCERTEZA!$C$17),INCERTEZA!$D$17,"-")))))))))))))))</f>
        <v>-</v>
      </c>
      <c r="L117" s="33">
        <f>AEP!CX122</f>
        <v>0</v>
      </c>
      <c r="M117" s="34">
        <f>AEP!CO122</f>
        <v>0</v>
      </c>
      <c r="N117" s="55" t="b">
        <f>IF(AND(L117=monitoramento!$C$4,M117=monitoramento!$D$4),monitoramento!$E$4,IF(AND(L117=monitoramento!$C$5,M117=monitoramento!$D$5),monitoramento!$E$5,IF(AND(L117=monitoramento!$C$6,M117=monitoramento!$D$6),monitoramento!$E$6,IF(AND(L117=monitoramento!$C$7,M117=monitoramento!$D$7),monitoramento!$E$7,IF(AND(L117=monitoramento!$C$8,M117=monitoramento!$D$8),monitoramento!$E$8,IF(AND(L117=monitoramento!$C$9,M117=monitoramento!$D$9),monitoramento!$E$9,IF(AND(L117=monitoramento!$C$10,M117=monitoramento!$D$10),monitoramento!$E$10,IF(AND(L117=monitoramento!$C$11,M117=monitoramento!$D$11),monitoramento!$E$11,IF(AND(L117=monitoramento!$C$12,M117=monitoramento!$D$12),monitoramento!$E$12,IF(AND(L117=monitoramento!$C$13,M117=monitoramento!$D$13),monitoramento!$E$13,IF(AND(L117=monitoramento!$C$14,M117=monitoramento!$D$14),monitoramento!$E$14,IF(AND(L117=monitoramento!$C$15,M117=monitoramento!$D$15),monitoramento!$E$15,IF(AND(L117=monitoramento!$C$16,M117=monitoramento!$D$16),monitoramento!$E$16,IF(AND(L117=monitoramento!$C$17,M117=monitoramento!$D$17),monitoramento!$E$17,IF(AND(L117=monitoramento!$C$18,M117=monitoramento!$D$18),monitoramento!$E$18,IF(AND(L117=monitoramento!$C$19,M117=monitoramento!$D$19),monitoramento!$E$19))))))))))))))))</f>
        <v>0</v>
      </c>
      <c r="O117" s="55"/>
      <c r="P117" s="55"/>
    </row>
    <row r="118" spans="8:16" ht="25.9" customHeight="1" thickBot="1" x14ac:dyDescent="0.25">
      <c r="H118" s="29">
        <f>AEP!BF123</f>
        <v>0</v>
      </c>
      <c r="I118" s="30">
        <f>AEP!BI123</f>
        <v>0</v>
      </c>
      <c r="J118" s="31">
        <f>AEP!BM123</f>
        <v>0</v>
      </c>
      <c r="K118" s="32" t="str">
        <f>IF(AND(I118=INCERTEZA!$B$3,J118=INCERTEZA!$C$3),INCERTEZA!$D$3,IF(AND(I118=INCERTEZA!$B$4,J118=INCERTEZA!$C$4),INCERTEZA!$D$4,IF(AND(I118=INCERTEZA!$B$5,J118=INCERTEZA!$C$5),INCERTEZA!$D$5,IF(AND(I118=INCERTEZA!$B$6,J118=INCERTEZA!$C$6),INCERTEZA!$D$6,IF(AND(I118=INCERTEZA!$B$7,J118=INCERTEZA!$C$7),INCERTEZA!$D$7,IF(AND(I118=INCERTEZA!$B$8,J118=INCERTEZA!$C$8),INCERTEZA!$D$8,IF(AND(I118=INCERTEZA!$B$9,J118=INCERTEZA!$C$9),INCERTEZA!$D$9,IF(AND(I118=INCERTEZA!$B$10,J118=INCERTEZA!$C$10),INCERTEZA!$D$10,IF(AND(I118=INCERTEZA!$B$11,J118=INCERTEZA!$C$11),INCERTEZA!$D$11,IF(AND(I118=INCERTEZA!$B$12,J118=INCERTEZA!$C$12),INCERTEZA!$D$12,IF(AND(I118=INCERTEZA!$B$13,J118=INCERTEZA!$C$13),INCERTEZA!$D$13,IF(AND(I118=INCERTEZA!$B$14,J118=INCERTEZA!$C$14),INCERTEZA!$D$14,IF(AND(I118=INCERTEZA!$B$15,J118=INCERTEZA!$C$15),INCERTEZA!$D$15,IF(AND(I118=INCERTEZA!$B$16,J118=INCERTEZA!$C$16),INCERTEZA!$D$16,IF(AND(I118=INCERTEZA!$B$17,J118=INCERTEZA!$C$17),INCERTEZA!$D$17,"-")))))))))))))))</f>
        <v>-</v>
      </c>
      <c r="L118" s="33">
        <f>AEP!CX123</f>
        <v>0</v>
      </c>
      <c r="M118" s="34">
        <f>AEP!CO123</f>
        <v>0</v>
      </c>
      <c r="N118" s="55" t="b">
        <f>IF(AND(L118=monitoramento!$C$4,M118=monitoramento!$D$4),monitoramento!$E$4,IF(AND(L118=monitoramento!$C$5,M118=monitoramento!$D$5),monitoramento!$E$5,IF(AND(L118=monitoramento!$C$6,M118=monitoramento!$D$6),monitoramento!$E$6,IF(AND(L118=monitoramento!$C$7,M118=monitoramento!$D$7),monitoramento!$E$7,IF(AND(L118=monitoramento!$C$8,M118=monitoramento!$D$8),monitoramento!$E$8,IF(AND(L118=monitoramento!$C$9,M118=monitoramento!$D$9),monitoramento!$E$9,IF(AND(L118=monitoramento!$C$10,M118=monitoramento!$D$10),monitoramento!$E$10,IF(AND(L118=monitoramento!$C$11,M118=monitoramento!$D$11),monitoramento!$E$11,IF(AND(L118=monitoramento!$C$12,M118=monitoramento!$D$12),monitoramento!$E$12,IF(AND(L118=monitoramento!$C$13,M118=monitoramento!$D$13),monitoramento!$E$13,IF(AND(L118=monitoramento!$C$14,M118=monitoramento!$D$14),monitoramento!$E$14,IF(AND(L118=monitoramento!$C$15,M118=monitoramento!$D$15),monitoramento!$E$15,IF(AND(L118=monitoramento!$C$16,M118=monitoramento!$D$16),monitoramento!$E$16,IF(AND(L118=monitoramento!$C$17,M118=monitoramento!$D$17),monitoramento!$E$17,IF(AND(L118=monitoramento!$C$18,M118=monitoramento!$D$18),monitoramento!$E$18,IF(AND(L118=monitoramento!$C$19,M118=monitoramento!$D$19),monitoramento!$E$19))))))))))))))))</f>
        <v>0</v>
      </c>
      <c r="O118" s="55"/>
      <c r="P118" s="55"/>
    </row>
    <row r="119" spans="8:16" ht="25.9" customHeight="1" thickBot="1" x14ac:dyDescent="0.25">
      <c r="H119" s="29">
        <f>AEP!BF124</f>
        <v>0</v>
      </c>
      <c r="I119" s="30">
        <f>AEP!BI124</f>
        <v>0</v>
      </c>
      <c r="J119" s="31">
        <f>AEP!BM124</f>
        <v>0</v>
      </c>
      <c r="K119" s="32" t="str">
        <f>IF(AND(I119=INCERTEZA!$B$3,J119=INCERTEZA!$C$3),INCERTEZA!$D$3,IF(AND(I119=INCERTEZA!$B$4,J119=INCERTEZA!$C$4),INCERTEZA!$D$4,IF(AND(I119=INCERTEZA!$B$5,J119=INCERTEZA!$C$5),INCERTEZA!$D$5,IF(AND(I119=INCERTEZA!$B$6,J119=INCERTEZA!$C$6),INCERTEZA!$D$6,IF(AND(I119=INCERTEZA!$B$7,J119=INCERTEZA!$C$7),INCERTEZA!$D$7,IF(AND(I119=INCERTEZA!$B$8,J119=INCERTEZA!$C$8),INCERTEZA!$D$8,IF(AND(I119=INCERTEZA!$B$9,J119=INCERTEZA!$C$9),INCERTEZA!$D$9,IF(AND(I119=INCERTEZA!$B$10,J119=INCERTEZA!$C$10),INCERTEZA!$D$10,IF(AND(I119=INCERTEZA!$B$11,J119=INCERTEZA!$C$11),INCERTEZA!$D$11,IF(AND(I119=INCERTEZA!$B$12,J119=INCERTEZA!$C$12),INCERTEZA!$D$12,IF(AND(I119=INCERTEZA!$B$13,J119=INCERTEZA!$C$13),INCERTEZA!$D$13,IF(AND(I119=INCERTEZA!$B$14,J119=INCERTEZA!$C$14),INCERTEZA!$D$14,IF(AND(I119=INCERTEZA!$B$15,J119=INCERTEZA!$C$15),INCERTEZA!$D$15,IF(AND(I119=INCERTEZA!$B$16,J119=INCERTEZA!$C$16),INCERTEZA!$D$16,IF(AND(I119=INCERTEZA!$B$17,J119=INCERTEZA!$C$17),INCERTEZA!$D$17,"-")))))))))))))))</f>
        <v>-</v>
      </c>
      <c r="L119" s="33">
        <f>AEP!CX124</f>
        <v>0</v>
      </c>
      <c r="M119" s="34">
        <f>AEP!CO124</f>
        <v>0</v>
      </c>
      <c r="N119" s="55" t="b">
        <f>IF(AND(L119=monitoramento!$C$4,M119=monitoramento!$D$4),monitoramento!$E$4,IF(AND(L119=monitoramento!$C$5,M119=monitoramento!$D$5),monitoramento!$E$5,IF(AND(L119=monitoramento!$C$6,M119=monitoramento!$D$6),monitoramento!$E$6,IF(AND(L119=monitoramento!$C$7,M119=monitoramento!$D$7),monitoramento!$E$7,IF(AND(L119=monitoramento!$C$8,M119=monitoramento!$D$8),monitoramento!$E$8,IF(AND(L119=monitoramento!$C$9,M119=monitoramento!$D$9),monitoramento!$E$9,IF(AND(L119=monitoramento!$C$10,M119=monitoramento!$D$10),monitoramento!$E$10,IF(AND(L119=monitoramento!$C$11,M119=monitoramento!$D$11),monitoramento!$E$11,IF(AND(L119=monitoramento!$C$12,M119=monitoramento!$D$12),monitoramento!$E$12,IF(AND(L119=monitoramento!$C$13,M119=monitoramento!$D$13),monitoramento!$E$13,IF(AND(L119=monitoramento!$C$14,M119=monitoramento!$D$14),monitoramento!$E$14,IF(AND(L119=monitoramento!$C$15,M119=monitoramento!$D$15),monitoramento!$E$15,IF(AND(L119=monitoramento!$C$16,M119=monitoramento!$D$16),monitoramento!$E$16,IF(AND(L119=monitoramento!$C$17,M119=monitoramento!$D$17),monitoramento!$E$17,IF(AND(L119=monitoramento!$C$18,M119=monitoramento!$D$18),monitoramento!$E$18,IF(AND(L119=monitoramento!$C$19,M119=monitoramento!$D$19),monitoramento!$E$19))))))))))))))))</f>
        <v>0</v>
      </c>
      <c r="O119" s="55"/>
      <c r="P119" s="55"/>
    </row>
    <row r="120" spans="8:16" ht="25.9" customHeight="1" thickBot="1" x14ac:dyDescent="0.25">
      <c r="H120" s="29">
        <f>AEP!BF125</f>
        <v>0</v>
      </c>
      <c r="I120" s="30">
        <f>AEP!BI125</f>
        <v>0</v>
      </c>
      <c r="J120" s="31">
        <f>AEP!BM125</f>
        <v>0</v>
      </c>
      <c r="K120" s="32" t="str">
        <f>IF(AND(I120=INCERTEZA!$B$3,J120=INCERTEZA!$C$3),INCERTEZA!$D$3,IF(AND(I120=INCERTEZA!$B$4,J120=INCERTEZA!$C$4),INCERTEZA!$D$4,IF(AND(I120=INCERTEZA!$B$5,J120=INCERTEZA!$C$5),INCERTEZA!$D$5,IF(AND(I120=INCERTEZA!$B$6,J120=INCERTEZA!$C$6),INCERTEZA!$D$6,IF(AND(I120=INCERTEZA!$B$7,J120=INCERTEZA!$C$7),INCERTEZA!$D$7,IF(AND(I120=INCERTEZA!$B$8,J120=INCERTEZA!$C$8),INCERTEZA!$D$8,IF(AND(I120=INCERTEZA!$B$9,J120=INCERTEZA!$C$9),INCERTEZA!$D$9,IF(AND(I120=INCERTEZA!$B$10,J120=INCERTEZA!$C$10),INCERTEZA!$D$10,IF(AND(I120=INCERTEZA!$B$11,J120=INCERTEZA!$C$11),INCERTEZA!$D$11,IF(AND(I120=INCERTEZA!$B$12,J120=INCERTEZA!$C$12),INCERTEZA!$D$12,IF(AND(I120=INCERTEZA!$B$13,J120=INCERTEZA!$C$13),INCERTEZA!$D$13,IF(AND(I120=INCERTEZA!$B$14,J120=INCERTEZA!$C$14),INCERTEZA!$D$14,IF(AND(I120=INCERTEZA!$B$15,J120=INCERTEZA!$C$15),INCERTEZA!$D$15,IF(AND(I120=INCERTEZA!$B$16,J120=INCERTEZA!$C$16),INCERTEZA!$D$16,IF(AND(I120=INCERTEZA!$B$17,J120=INCERTEZA!$C$17),INCERTEZA!$D$17,"-")))))))))))))))</f>
        <v>-</v>
      </c>
      <c r="L120" s="33">
        <f>AEP!CX125</f>
        <v>0</v>
      </c>
      <c r="M120" s="34">
        <f>AEP!CO125</f>
        <v>0</v>
      </c>
      <c r="N120" s="55" t="b">
        <f>IF(AND(L120=monitoramento!$C$4,M120=monitoramento!$D$4),monitoramento!$E$4,IF(AND(L120=monitoramento!$C$5,M120=monitoramento!$D$5),monitoramento!$E$5,IF(AND(L120=monitoramento!$C$6,M120=monitoramento!$D$6),monitoramento!$E$6,IF(AND(L120=monitoramento!$C$7,M120=monitoramento!$D$7),monitoramento!$E$7,IF(AND(L120=monitoramento!$C$8,M120=monitoramento!$D$8),monitoramento!$E$8,IF(AND(L120=monitoramento!$C$9,M120=monitoramento!$D$9),monitoramento!$E$9,IF(AND(L120=monitoramento!$C$10,M120=monitoramento!$D$10),monitoramento!$E$10,IF(AND(L120=monitoramento!$C$11,M120=monitoramento!$D$11),monitoramento!$E$11,IF(AND(L120=monitoramento!$C$12,M120=monitoramento!$D$12),monitoramento!$E$12,IF(AND(L120=monitoramento!$C$13,M120=monitoramento!$D$13),monitoramento!$E$13,IF(AND(L120=monitoramento!$C$14,M120=monitoramento!$D$14),monitoramento!$E$14,IF(AND(L120=monitoramento!$C$15,M120=monitoramento!$D$15),monitoramento!$E$15,IF(AND(L120=monitoramento!$C$16,M120=monitoramento!$D$16),monitoramento!$E$16,IF(AND(L120=monitoramento!$C$17,M120=monitoramento!$D$17),monitoramento!$E$17,IF(AND(L120=monitoramento!$C$18,M120=monitoramento!$D$18),monitoramento!$E$18,IF(AND(L120=monitoramento!$C$19,M120=monitoramento!$D$19),monitoramento!$E$19))))))))))))))))</f>
        <v>0</v>
      </c>
      <c r="O120" s="55"/>
      <c r="P120" s="55"/>
    </row>
    <row r="121" spans="8:16" ht="25.9" customHeight="1" thickBot="1" x14ac:dyDescent="0.25">
      <c r="H121" s="29">
        <f>AEP!BF126</f>
        <v>0</v>
      </c>
      <c r="I121" s="30">
        <f>AEP!BI126</f>
        <v>0</v>
      </c>
      <c r="J121" s="31">
        <f>AEP!BM126</f>
        <v>0</v>
      </c>
      <c r="K121" s="32" t="str">
        <f>IF(AND(I121=INCERTEZA!$B$3,J121=INCERTEZA!$C$3),INCERTEZA!$D$3,IF(AND(I121=INCERTEZA!$B$4,J121=INCERTEZA!$C$4),INCERTEZA!$D$4,IF(AND(I121=INCERTEZA!$B$5,J121=INCERTEZA!$C$5),INCERTEZA!$D$5,IF(AND(I121=INCERTEZA!$B$6,J121=INCERTEZA!$C$6),INCERTEZA!$D$6,IF(AND(I121=INCERTEZA!$B$7,J121=INCERTEZA!$C$7),INCERTEZA!$D$7,IF(AND(I121=INCERTEZA!$B$8,J121=INCERTEZA!$C$8),INCERTEZA!$D$8,IF(AND(I121=INCERTEZA!$B$9,J121=INCERTEZA!$C$9),INCERTEZA!$D$9,IF(AND(I121=INCERTEZA!$B$10,J121=INCERTEZA!$C$10),INCERTEZA!$D$10,IF(AND(I121=INCERTEZA!$B$11,J121=INCERTEZA!$C$11),INCERTEZA!$D$11,IF(AND(I121=INCERTEZA!$B$12,J121=INCERTEZA!$C$12),INCERTEZA!$D$12,IF(AND(I121=INCERTEZA!$B$13,J121=INCERTEZA!$C$13),INCERTEZA!$D$13,IF(AND(I121=INCERTEZA!$B$14,J121=INCERTEZA!$C$14),INCERTEZA!$D$14,IF(AND(I121=INCERTEZA!$B$15,J121=INCERTEZA!$C$15),INCERTEZA!$D$15,IF(AND(I121=INCERTEZA!$B$16,J121=INCERTEZA!$C$16),INCERTEZA!$D$16,IF(AND(I121=INCERTEZA!$B$17,J121=INCERTEZA!$C$17),INCERTEZA!$D$17,"-")))))))))))))))</f>
        <v>-</v>
      </c>
      <c r="L121" s="33">
        <f>AEP!CX126</f>
        <v>0</v>
      </c>
      <c r="M121" s="34">
        <f>AEP!CO126</f>
        <v>0</v>
      </c>
      <c r="N121" s="55" t="b">
        <f>IF(AND(L121=monitoramento!$C$4,M121=monitoramento!$D$4),monitoramento!$E$4,IF(AND(L121=monitoramento!$C$5,M121=monitoramento!$D$5),monitoramento!$E$5,IF(AND(L121=monitoramento!$C$6,M121=monitoramento!$D$6),monitoramento!$E$6,IF(AND(L121=monitoramento!$C$7,M121=monitoramento!$D$7),monitoramento!$E$7,IF(AND(L121=monitoramento!$C$8,M121=monitoramento!$D$8),monitoramento!$E$8,IF(AND(L121=monitoramento!$C$9,M121=monitoramento!$D$9),monitoramento!$E$9,IF(AND(L121=monitoramento!$C$10,M121=monitoramento!$D$10),monitoramento!$E$10,IF(AND(L121=monitoramento!$C$11,M121=monitoramento!$D$11),monitoramento!$E$11,IF(AND(L121=monitoramento!$C$12,M121=monitoramento!$D$12),monitoramento!$E$12,IF(AND(L121=monitoramento!$C$13,M121=monitoramento!$D$13),monitoramento!$E$13,IF(AND(L121=monitoramento!$C$14,M121=monitoramento!$D$14),monitoramento!$E$14,IF(AND(L121=monitoramento!$C$15,M121=monitoramento!$D$15),monitoramento!$E$15,IF(AND(L121=monitoramento!$C$16,M121=monitoramento!$D$16),monitoramento!$E$16,IF(AND(L121=monitoramento!$C$17,M121=monitoramento!$D$17),monitoramento!$E$17,IF(AND(L121=monitoramento!$C$18,M121=monitoramento!$D$18),monitoramento!$E$18,IF(AND(L121=monitoramento!$C$19,M121=monitoramento!$D$19),monitoramento!$E$19))))))))))))))))</f>
        <v>0</v>
      </c>
      <c r="O121" s="55"/>
      <c r="P121" s="55"/>
    </row>
    <row r="122" spans="8:16" ht="25.9" customHeight="1" thickBot="1" x14ac:dyDescent="0.25">
      <c r="H122" s="29">
        <f>AEP!BF127</f>
        <v>0</v>
      </c>
      <c r="I122" s="30">
        <f>AEP!BI127</f>
        <v>0</v>
      </c>
      <c r="J122" s="31">
        <f>AEP!BM127</f>
        <v>0</v>
      </c>
      <c r="K122" s="32" t="str">
        <f>IF(AND(I122=INCERTEZA!$B$3,J122=INCERTEZA!$C$3),INCERTEZA!$D$3,IF(AND(I122=INCERTEZA!$B$4,J122=INCERTEZA!$C$4),INCERTEZA!$D$4,IF(AND(I122=INCERTEZA!$B$5,J122=INCERTEZA!$C$5),INCERTEZA!$D$5,IF(AND(I122=INCERTEZA!$B$6,J122=INCERTEZA!$C$6),INCERTEZA!$D$6,IF(AND(I122=INCERTEZA!$B$7,J122=INCERTEZA!$C$7),INCERTEZA!$D$7,IF(AND(I122=INCERTEZA!$B$8,J122=INCERTEZA!$C$8),INCERTEZA!$D$8,IF(AND(I122=INCERTEZA!$B$9,J122=INCERTEZA!$C$9),INCERTEZA!$D$9,IF(AND(I122=INCERTEZA!$B$10,J122=INCERTEZA!$C$10),INCERTEZA!$D$10,IF(AND(I122=INCERTEZA!$B$11,J122=INCERTEZA!$C$11),INCERTEZA!$D$11,IF(AND(I122=INCERTEZA!$B$12,J122=INCERTEZA!$C$12),INCERTEZA!$D$12,IF(AND(I122=INCERTEZA!$B$13,J122=INCERTEZA!$C$13),INCERTEZA!$D$13,IF(AND(I122=INCERTEZA!$B$14,J122=INCERTEZA!$C$14),INCERTEZA!$D$14,IF(AND(I122=INCERTEZA!$B$15,J122=INCERTEZA!$C$15),INCERTEZA!$D$15,IF(AND(I122=INCERTEZA!$B$16,J122=INCERTEZA!$C$16),INCERTEZA!$D$16,IF(AND(I122=INCERTEZA!$B$17,J122=INCERTEZA!$C$17),INCERTEZA!$D$17,"-")))))))))))))))</f>
        <v>-</v>
      </c>
      <c r="L122" s="33">
        <f>AEP!CX127</f>
        <v>0</v>
      </c>
      <c r="M122" s="34">
        <f>AEP!CO127</f>
        <v>0</v>
      </c>
      <c r="N122" s="55" t="b">
        <f>IF(AND(L122=monitoramento!$C$4,M122=monitoramento!$D$4),monitoramento!$E$4,IF(AND(L122=monitoramento!$C$5,M122=monitoramento!$D$5),monitoramento!$E$5,IF(AND(L122=monitoramento!$C$6,M122=monitoramento!$D$6),monitoramento!$E$6,IF(AND(L122=monitoramento!$C$7,M122=monitoramento!$D$7),monitoramento!$E$7,IF(AND(L122=monitoramento!$C$8,M122=monitoramento!$D$8),monitoramento!$E$8,IF(AND(L122=monitoramento!$C$9,M122=monitoramento!$D$9),monitoramento!$E$9,IF(AND(L122=monitoramento!$C$10,M122=monitoramento!$D$10),monitoramento!$E$10,IF(AND(L122=monitoramento!$C$11,M122=monitoramento!$D$11),monitoramento!$E$11,IF(AND(L122=monitoramento!$C$12,M122=monitoramento!$D$12),monitoramento!$E$12,IF(AND(L122=monitoramento!$C$13,M122=monitoramento!$D$13),monitoramento!$E$13,IF(AND(L122=monitoramento!$C$14,M122=monitoramento!$D$14),monitoramento!$E$14,IF(AND(L122=monitoramento!$C$15,M122=monitoramento!$D$15),monitoramento!$E$15,IF(AND(L122=monitoramento!$C$16,M122=monitoramento!$D$16),monitoramento!$E$16,IF(AND(L122=monitoramento!$C$17,M122=monitoramento!$D$17),monitoramento!$E$17,IF(AND(L122=monitoramento!$C$18,M122=monitoramento!$D$18),monitoramento!$E$18,IF(AND(L122=monitoramento!$C$19,M122=monitoramento!$D$19),monitoramento!$E$19))))))))))))))))</f>
        <v>0</v>
      </c>
      <c r="O122" s="55"/>
      <c r="P122" s="55"/>
    </row>
    <row r="123" spans="8:16" ht="25.9" customHeight="1" thickBot="1" x14ac:dyDescent="0.25">
      <c r="H123" s="29">
        <f>AEP!BF128</f>
        <v>0</v>
      </c>
      <c r="I123" s="30">
        <f>AEP!BI128</f>
        <v>0</v>
      </c>
      <c r="J123" s="31">
        <f>AEP!BM128</f>
        <v>0</v>
      </c>
      <c r="K123" s="32" t="str">
        <f>IF(AND(I123=INCERTEZA!$B$3,J123=INCERTEZA!$C$3),INCERTEZA!$D$3,IF(AND(I123=INCERTEZA!$B$4,J123=INCERTEZA!$C$4),INCERTEZA!$D$4,IF(AND(I123=INCERTEZA!$B$5,J123=INCERTEZA!$C$5),INCERTEZA!$D$5,IF(AND(I123=INCERTEZA!$B$6,J123=INCERTEZA!$C$6),INCERTEZA!$D$6,IF(AND(I123=INCERTEZA!$B$7,J123=INCERTEZA!$C$7),INCERTEZA!$D$7,IF(AND(I123=INCERTEZA!$B$8,J123=INCERTEZA!$C$8),INCERTEZA!$D$8,IF(AND(I123=INCERTEZA!$B$9,J123=INCERTEZA!$C$9),INCERTEZA!$D$9,IF(AND(I123=INCERTEZA!$B$10,J123=INCERTEZA!$C$10),INCERTEZA!$D$10,IF(AND(I123=INCERTEZA!$B$11,J123=INCERTEZA!$C$11),INCERTEZA!$D$11,IF(AND(I123=INCERTEZA!$B$12,J123=INCERTEZA!$C$12),INCERTEZA!$D$12,IF(AND(I123=INCERTEZA!$B$13,J123=INCERTEZA!$C$13),INCERTEZA!$D$13,IF(AND(I123=INCERTEZA!$B$14,J123=INCERTEZA!$C$14),INCERTEZA!$D$14,IF(AND(I123=INCERTEZA!$B$15,J123=INCERTEZA!$C$15),INCERTEZA!$D$15,IF(AND(I123=INCERTEZA!$B$16,J123=INCERTEZA!$C$16),INCERTEZA!$D$16,IF(AND(I123=INCERTEZA!$B$17,J123=INCERTEZA!$C$17),INCERTEZA!$D$17,"-")))))))))))))))</f>
        <v>-</v>
      </c>
      <c r="L123" s="33">
        <f>AEP!CX128</f>
        <v>0</v>
      </c>
      <c r="M123" s="34">
        <f>AEP!CO128</f>
        <v>0</v>
      </c>
      <c r="N123" s="55" t="b">
        <f>IF(AND(L123=monitoramento!$C$4,M123=monitoramento!$D$4),monitoramento!$E$4,IF(AND(L123=monitoramento!$C$5,M123=monitoramento!$D$5),monitoramento!$E$5,IF(AND(L123=monitoramento!$C$6,M123=monitoramento!$D$6),monitoramento!$E$6,IF(AND(L123=monitoramento!$C$7,M123=monitoramento!$D$7),monitoramento!$E$7,IF(AND(L123=monitoramento!$C$8,M123=monitoramento!$D$8),monitoramento!$E$8,IF(AND(L123=monitoramento!$C$9,M123=monitoramento!$D$9),monitoramento!$E$9,IF(AND(L123=monitoramento!$C$10,M123=monitoramento!$D$10),monitoramento!$E$10,IF(AND(L123=monitoramento!$C$11,M123=monitoramento!$D$11),monitoramento!$E$11,IF(AND(L123=monitoramento!$C$12,M123=monitoramento!$D$12),monitoramento!$E$12,IF(AND(L123=monitoramento!$C$13,M123=monitoramento!$D$13),monitoramento!$E$13,IF(AND(L123=monitoramento!$C$14,M123=monitoramento!$D$14),monitoramento!$E$14,IF(AND(L123=monitoramento!$C$15,M123=monitoramento!$D$15),monitoramento!$E$15,IF(AND(L123=monitoramento!$C$16,M123=monitoramento!$D$16),monitoramento!$E$16,IF(AND(L123=monitoramento!$C$17,M123=monitoramento!$D$17),monitoramento!$E$17,IF(AND(L123=monitoramento!$C$18,M123=monitoramento!$D$18),monitoramento!$E$18,IF(AND(L123=monitoramento!$C$19,M123=monitoramento!$D$19),monitoramento!$E$19))))))))))))))))</f>
        <v>0</v>
      </c>
      <c r="O123" s="55"/>
      <c r="P123" s="55"/>
    </row>
    <row r="124" spans="8:16" ht="25.9" customHeight="1" thickBot="1" x14ac:dyDescent="0.25">
      <c r="H124" s="29">
        <f>AEP!BF129</f>
        <v>0</v>
      </c>
      <c r="I124" s="30">
        <f>AEP!BI129</f>
        <v>0</v>
      </c>
      <c r="J124" s="31">
        <f>AEP!BM129</f>
        <v>0</v>
      </c>
      <c r="K124" s="32" t="str">
        <f>IF(AND(I124=INCERTEZA!$B$3,J124=INCERTEZA!$C$3),INCERTEZA!$D$3,IF(AND(I124=INCERTEZA!$B$4,J124=INCERTEZA!$C$4),INCERTEZA!$D$4,IF(AND(I124=INCERTEZA!$B$5,J124=INCERTEZA!$C$5),INCERTEZA!$D$5,IF(AND(I124=INCERTEZA!$B$6,J124=INCERTEZA!$C$6),INCERTEZA!$D$6,IF(AND(I124=INCERTEZA!$B$7,J124=INCERTEZA!$C$7),INCERTEZA!$D$7,IF(AND(I124=INCERTEZA!$B$8,J124=INCERTEZA!$C$8),INCERTEZA!$D$8,IF(AND(I124=INCERTEZA!$B$9,J124=INCERTEZA!$C$9),INCERTEZA!$D$9,IF(AND(I124=INCERTEZA!$B$10,J124=INCERTEZA!$C$10),INCERTEZA!$D$10,IF(AND(I124=INCERTEZA!$B$11,J124=INCERTEZA!$C$11),INCERTEZA!$D$11,IF(AND(I124=INCERTEZA!$B$12,J124=INCERTEZA!$C$12),INCERTEZA!$D$12,IF(AND(I124=INCERTEZA!$B$13,J124=INCERTEZA!$C$13),INCERTEZA!$D$13,IF(AND(I124=INCERTEZA!$B$14,J124=INCERTEZA!$C$14),INCERTEZA!$D$14,IF(AND(I124=INCERTEZA!$B$15,J124=INCERTEZA!$C$15),INCERTEZA!$D$15,IF(AND(I124=INCERTEZA!$B$16,J124=INCERTEZA!$C$16),INCERTEZA!$D$16,IF(AND(I124=INCERTEZA!$B$17,J124=INCERTEZA!$C$17),INCERTEZA!$D$17,"-")))))))))))))))</f>
        <v>-</v>
      </c>
      <c r="L124" s="33">
        <f>AEP!CX129</f>
        <v>0</v>
      </c>
      <c r="M124" s="34">
        <f>AEP!CO129</f>
        <v>0</v>
      </c>
      <c r="N124" s="55" t="b">
        <f>IF(AND(L124=monitoramento!$C$4,M124=monitoramento!$D$4),monitoramento!$E$4,IF(AND(L124=monitoramento!$C$5,M124=monitoramento!$D$5),monitoramento!$E$5,IF(AND(L124=monitoramento!$C$6,M124=monitoramento!$D$6),monitoramento!$E$6,IF(AND(L124=monitoramento!$C$7,M124=monitoramento!$D$7),monitoramento!$E$7,IF(AND(L124=monitoramento!$C$8,M124=monitoramento!$D$8),monitoramento!$E$8,IF(AND(L124=monitoramento!$C$9,M124=monitoramento!$D$9),monitoramento!$E$9,IF(AND(L124=monitoramento!$C$10,M124=monitoramento!$D$10),monitoramento!$E$10,IF(AND(L124=monitoramento!$C$11,M124=monitoramento!$D$11),monitoramento!$E$11,IF(AND(L124=monitoramento!$C$12,M124=monitoramento!$D$12),monitoramento!$E$12,IF(AND(L124=monitoramento!$C$13,M124=monitoramento!$D$13),monitoramento!$E$13,IF(AND(L124=monitoramento!$C$14,M124=monitoramento!$D$14),monitoramento!$E$14,IF(AND(L124=monitoramento!$C$15,M124=monitoramento!$D$15),monitoramento!$E$15,IF(AND(L124=monitoramento!$C$16,M124=monitoramento!$D$16),monitoramento!$E$16,IF(AND(L124=monitoramento!$C$17,M124=monitoramento!$D$17),monitoramento!$E$17,IF(AND(L124=monitoramento!$C$18,M124=monitoramento!$D$18),monitoramento!$E$18,IF(AND(L124=monitoramento!$C$19,M124=monitoramento!$D$19),monitoramento!$E$19))))))))))))))))</f>
        <v>0</v>
      </c>
      <c r="O124" s="55"/>
      <c r="P124" s="55"/>
    </row>
    <row r="125" spans="8:16" ht="25.9" customHeight="1" thickBot="1" x14ac:dyDescent="0.25">
      <c r="H125" s="29">
        <f>AEP!BF130</f>
        <v>0</v>
      </c>
      <c r="I125" s="30">
        <f>AEP!BI130</f>
        <v>0</v>
      </c>
      <c r="J125" s="31">
        <f>AEP!BM130</f>
        <v>0</v>
      </c>
      <c r="K125" s="32" t="str">
        <f>IF(AND(I125=INCERTEZA!$B$3,J125=INCERTEZA!$C$3),INCERTEZA!$D$3,IF(AND(I125=INCERTEZA!$B$4,J125=INCERTEZA!$C$4),INCERTEZA!$D$4,IF(AND(I125=INCERTEZA!$B$5,J125=INCERTEZA!$C$5),INCERTEZA!$D$5,IF(AND(I125=INCERTEZA!$B$6,J125=INCERTEZA!$C$6),INCERTEZA!$D$6,IF(AND(I125=INCERTEZA!$B$7,J125=INCERTEZA!$C$7),INCERTEZA!$D$7,IF(AND(I125=INCERTEZA!$B$8,J125=INCERTEZA!$C$8),INCERTEZA!$D$8,IF(AND(I125=INCERTEZA!$B$9,J125=INCERTEZA!$C$9),INCERTEZA!$D$9,IF(AND(I125=INCERTEZA!$B$10,J125=INCERTEZA!$C$10),INCERTEZA!$D$10,IF(AND(I125=INCERTEZA!$B$11,J125=INCERTEZA!$C$11),INCERTEZA!$D$11,IF(AND(I125=INCERTEZA!$B$12,J125=INCERTEZA!$C$12),INCERTEZA!$D$12,IF(AND(I125=INCERTEZA!$B$13,J125=INCERTEZA!$C$13),INCERTEZA!$D$13,IF(AND(I125=INCERTEZA!$B$14,J125=INCERTEZA!$C$14),INCERTEZA!$D$14,IF(AND(I125=INCERTEZA!$B$15,J125=INCERTEZA!$C$15),INCERTEZA!$D$15,IF(AND(I125=INCERTEZA!$B$16,J125=INCERTEZA!$C$16),INCERTEZA!$D$16,IF(AND(I125=INCERTEZA!$B$17,J125=INCERTEZA!$C$17),INCERTEZA!$D$17,"-")))))))))))))))</f>
        <v>-</v>
      </c>
      <c r="L125" s="33">
        <f>AEP!CX130</f>
        <v>0</v>
      </c>
      <c r="M125" s="34">
        <f>AEP!CO130</f>
        <v>0</v>
      </c>
      <c r="N125" s="55" t="b">
        <f>IF(AND(L125=monitoramento!$C$4,M125=monitoramento!$D$4),monitoramento!$E$4,IF(AND(L125=monitoramento!$C$5,M125=monitoramento!$D$5),monitoramento!$E$5,IF(AND(L125=monitoramento!$C$6,M125=monitoramento!$D$6),monitoramento!$E$6,IF(AND(L125=monitoramento!$C$7,M125=monitoramento!$D$7),monitoramento!$E$7,IF(AND(L125=monitoramento!$C$8,M125=monitoramento!$D$8),monitoramento!$E$8,IF(AND(L125=monitoramento!$C$9,M125=monitoramento!$D$9),monitoramento!$E$9,IF(AND(L125=monitoramento!$C$10,M125=monitoramento!$D$10),monitoramento!$E$10,IF(AND(L125=monitoramento!$C$11,M125=monitoramento!$D$11),monitoramento!$E$11,IF(AND(L125=monitoramento!$C$12,M125=monitoramento!$D$12),monitoramento!$E$12,IF(AND(L125=monitoramento!$C$13,M125=monitoramento!$D$13),monitoramento!$E$13,IF(AND(L125=monitoramento!$C$14,M125=monitoramento!$D$14),monitoramento!$E$14,IF(AND(L125=monitoramento!$C$15,M125=monitoramento!$D$15),monitoramento!$E$15,IF(AND(L125=monitoramento!$C$16,M125=monitoramento!$D$16),monitoramento!$E$16,IF(AND(L125=monitoramento!$C$17,M125=monitoramento!$D$17),monitoramento!$E$17,IF(AND(L125=monitoramento!$C$18,M125=monitoramento!$D$18),monitoramento!$E$18,IF(AND(L125=monitoramento!$C$19,M125=monitoramento!$D$19),monitoramento!$E$19))))))))))))))))</f>
        <v>0</v>
      </c>
      <c r="O125" s="55"/>
      <c r="P125" s="55"/>
    </row>
    <row r="126" spans="8:16" ht="25.9" customHeight="1" thickBot="1" x14ac:dyDescent="0.25">
      <c r="H126" s="29">
        <f>AEP!BF131</f>
        <v>0</v>
      </c>
      <c r="I126" s="30">
        <f>AEP!BI131</f>
        <v>0</v>
      </c>
      <c r="J126" s="31">
        <f>AEP!BM131</f>
        <v>0</v>
      </c>
      <c r="K126" s="32" t="str">
        <f>IF(AND(I126=INCERTEZA!$B$3,J126=INCERTEZA!$C$3),INCERTEZA!$D$3,IF(AND(I126=INCERTEZA!$B$4,J126=INCERTEZA!$C$4),INCERTEZA!$D$4,IF(AND(I126=INCERTEZA!$B$5,J126=INCERTEZA!$C$5),INCERTEZA!$D$5,IF(AND(I126=INCERTEZA!$B$6,J126=INCERTEZA!$C$6),INCERTEZA!$D$6,IF(AND(I126=INCERTEZA!$B$7,J126=INCERTEZA!$C$7),INCERTEZA!$D$7,IF(AND(I126=INCERTEZA!$B$8,J126=INCERTEZA!$C$8),INCERTEZA!$D$8,IF(AND(I126=INCERTEZA!$B$9,J126=INCERTEZA!$C$9),INCERTEZA!$D$9,IF(AND(I126=INCERTEZA!$B$10,J126=INCERTEZA!$C$10),INCERTEZA!$D$10,IF(AND(I126=INCERTEZA!$B$11,J126=INCERTEZA!$C$11),INCERTEZA!$D$11,IF(AND(I126=INCERTEZA!$B$12,J126=INCERTEZA!$C$12),INCERTEZA!$D$12,IF(AND(I126=INCERTEZA!$B$13,J126=INCERTEZA!$C$13),INCERTEZA!$D$13,IF(AND(I126=INCERTEZA!$B$14,J126=INCERTEZA!$C$14),INCERTEZA!$D$14,IF(AND(I126=INCERTEZA!$B$15,J126=INCERTEZA!$C$15),INCERTEZA!$D$15,IF(AND(I126=INCERTEZA!$B$16,J126=INCERTEZA!$C$16),INCERTEZA!$D$16,IF(AND(I126=INCERTEZA!$B$17,J126=INCERTEZA!$C$17),INCERTEZA!$D$17,"-")))))))))))))))</f>
        <v>-</v>
      </c>
      <c r="L126" s="33">
        <f>AEP!CX131</f>
        <v>0</v>
      </c>
      <c r="M126" s="34">
        <f>AEP!CO131</f>
        <v>0</v>
      </c>
      <c r="N126" s="55" t="b">
        <f>IF(AND(L126=monitoramento!$C$4,M126=monitoramento!$D$4),monitoramento!$E$4,IF(AND(L126=monitoramento!$C$5,M126=monitoramento!$D$5),monitoramento!$E$5,IF(AND(L126=monitoramento!$C$6,M126=monitoramento!$D$6),monitoramento!$E$6,IF(AND(L126=monitoramento!$C$7,M126=monitoramento!$D$7),monitoramento!$E$7,IF(AND(L126=monitoramento!$C$8,M126=monitoramento!$D$8),monitoramento!$E$8,IF(AND(L126=monitoramento!$C$9,M126=monitoramento!$D$9),monitoramento!$E$9,IF(AND(L126=monitoramento!$C$10,M126=monitoramento!$D$10),monitoramento!$E$10,IF(AND(L126=monitoramento!$C$11,M126=monitoramento!$D$11),monitoramento!$E$11,IF(AND(L126=monitoramento!$C$12,M126=monitoramento!$D$12),monitoramento!$E$12,IF(AND(L126=monitoramento!$C$13,M126=monitoramento!$D$13),monitoramento!$E$13,IF(AND(L126=monitoramento!$C$14,M126=monitoramento!$D$14),monitoramento!$E$14,IF(AND(L126=monitoramento!$C$15,M126=monitoramento!$D$15),monitoramento!$E$15,IF(AND(L126=monitoramento!$C$16,M126=monitoramento!$D$16),monitoramento!$E$16,IF(AND(L126=monitoramento!$C$17,M126=monitoramento!$D$17),monitoramento!$E$17,IF(AND(L126=monitoramento!$C$18,M126=monitoramento!$D$18),monitoramento!$E$18,IF(AND(L126=monitoramento!$C$19,M126=monitoramento!$D$19),monitoramento!$E$19))))))))))))))))</f>
        <v>0</v>
      </c>
      <c r="O126" s="55"/>
      <c r="P126" s="55"/>
    </row>
    <row r="127" spans="8:16" ht="25.9" customHeight="1" thickBot="1" x14ac:dyDescent="0.25">
      <c r="H127" s="29">
        <f>AEP!BF132</f>
        <v>0</v>
      </c>
      <c r="I127" s="30">
        <f>AEP!BI132</f>
        <v>0</v>
      </c>
      <c r="J127" s="31">
        <f>AEP!BM132</f>
        <v>0</v>
      </c>
      <c r="K127" s="32" t="str">
        <f>IF(AND(I127=INCERTEZA!$B$3,J127=INCERTEZA!$C$3),INCERTEZA!$D$3,IF(AND(I127=INCERTEZA!$B$4,J127=INCERTEZA!$C$4),INCERTEZA!$D$4,IF(AND(I127=INCERTEZA!$B$5,J127=INCERTEZA!$C$5),INCERTEZA!$D$5,IF(AND(I127=INCERTEZA!$B$6,J127=INCERTEZA!$C$6),INCERTEZA!$D$6,IF(AND(I127=INCERTEZA!$B$7,J127=INCERTEZA!$C$7),INCERTEZA!$D$7,IF(AND(I127=INCERTEZA!$B$8,J127=INCERTEZA!$C$8),INCERTEZA!$D$8,IF(AND(I127=INCERTEZA!$B$9,J127=INCERTEZA!$C$9),INCERTEZA!$D$9,IF(AND(I127=INCERTEZA!$B$10,J127=INCERTEZA!$C$10),INCERTEZA!$D$10,IF(AND(I127=INCERTEZA!$B$11,J127=INCERTEZA!$C$11),INCERTEZA!$D$11,IF(AND(I127=INCERTEZA!$B$12,J127=INCERTEZA!$C$12),INCERTEZA!$D$12,IF(AND(I127=INCERTEZA!$B$13,J127=INCERTEZA!$C$13),INCERTEZA!$D$13,IF(AND(I127=INCERTEZA!$B$14,J127=INCERTEZA!$C$14),INCERTEZA!$D$14,IF(AND(I127=INCERTEZA!$B$15,J127=INCERTEZA!$C$15),INCERTEZA!$D$15,IF(AND(I127=INCERTEZA!$B$16,J127=INCERTEZA!$C$16),INCERTEZA!$D$16,IF(AND(I127=INCERTEZA!$B$17,J127=INCERTEZA!$C$17),INCERTEZA!$D$17,"-")))))))))))))))</f>
        <v>-</v>
      </c>
      <c r="L127" s="33">
        <f>AEP!CX132</f>
        <v>0</v>
      </c>
      <c r="M127" s="34">
        <f>AEP!CO132</f>
        <v>0</v>
      </c>
      <c r="N127" s="55" t="b">
        <f>IF(AND(L127=monitoramento!$C$4,M127=monitoramento!$D$4),monitoramento!$E$4,IF(AND(L127=monitoramento!$C$5,M127=monitoramento!$D$5),monitoramento!$E$5,IF(AND(L127=monitoramento!$C$6,M127=monitoramento!$D$6),monitoramento!$E$6,IF(AND(L127=monitoramento!$C$7,M127=monitoramento!$D$7),monitoramento!$E$7,IF(AND(L127=monitoramento!$C$8,M127=monitoramento!$D$8),monitoramento!$E$8,IF(AND(L127=monitoramento!$C$9,M127=monitoramento!$D$9),monitoramento!$E$9,IF(AND(L127=monitoramento!$C$10,M127=monitoramento!$D$10),monitoramento!$E$10,IF(AND(L127=monitoramento!$C$11,M127=monitoramento!$D$11),monitoramento!$E$11,IF(AND(L127=monitoramento!$C$12,M127=monitoramento!$D$12),monitoramento!$E$12,IF(AND(L127=monitoramento!$C$13,M127=monitoramento!$D$13),monitoramento!$E$13,IF(AND(L127=monitoramento!$C$14,M127=monitoramento!$D$14),monitoramento!$E$14,IF(AND(L127=monitoramento!$C$15,M127=monitoramento!$D$15),monitoramento!$E$15,IF(AND(L127=monitoramento!$C$16,M127=monitoramento!$D$16),monitoramento!$E$16,IF(AND(L127=monitoramento!$C$17,M127=monitoramento!$D$17),monitoramento!$E$17,IF(AND(L127=monitoramento!$C$18,M127=monitoramento!$D$18),monitoramento!$E$18,IF(AND(L127=monitoramento!$C$19,M127=monitoramento!$D$19),monitoramento!$E$19))))))))))))))))</f>
        <v>0</v>
      </c>
      <c r="O127" s="55"/>
      <c r="P127" s="55"/>
    </row>
    <row r="128" spans="8:16" ht="25.9" customHeight="1" thickBot="1" x14ac:dyDescent="0.25">
      <c r="H128" s="29">
        <f>AEP!BF133</f>
        <v>0</v>
      </c>
      <c r="I128" s="30">
        <f>AEP!BI133</f>
        <v>0</v>
      </c>
      <c r="J128" s="31">
        <f>AEP!BM133</f>
        <v>0</v>
      </c>
      <c r="K128" s="32" t="str">
        <f>IF(AND(I128=INCERTEZA!$B$3,J128=INCERTEZA!$C$3),INCERTEZA!$D$3,IF(AND(I128=INCERTEZA!$B$4,J128=INCERTEZA!$C$4),INCERTEZA!$D$4,IF(AND(I128=INCERTEZA!$B$5,J128=INCERTEZA!$C$5),INCERTEZA!$D$5,IF(AND(I128=INCERTEZA!$B$6,J128=INCERTEZA!$C$6),INCERTEZA!$D$6,IF(AND(I128=INCERTEZA!$B$7,J128=INCERTEZA!$C$7),INCERTEZA!$D$7,IF(AND(I128=INCERTEZA!$B$8,J128=INCERTEZA!$C$8),INCERTEZA!$D$8,IF(AND(I128=INCERTEZA!$B$9,J128=INCERTEZA!$C$9),INCERTEZA!$D$9,IF(AND(I128=INCERTEZA!$B$10,J128=INCERTEZA!$C$10),INCERTEZA!$D$10,IF(AND(I128=INCERTEZA!$B$11,J128=INCERTEZA!$C$11),INCERTEZA!$D$11,IF(AND(I128=INCERTEZA!$B$12,J128=INCERTEZA!$C$12),INCERTEZA!$D$12,IF(AND(I128=INCERTEZA!$B$13,J128=INCERTEZA!$C$13),INCERTEZA!$D$13,IF(AND(I128=INCERTEZA!$B$14,J128=INCERTEZA!$C$14),INCERTEZA!$D$14,IF(AND(I128=INCERTEZA!$B$15,J128=INCERTEZA!$C$15),INCERTEZA!$D$15,IF(AND(I128=INCERTEZA!$B$16,J128=INCERTEZA!$C$16),INCERTEZA!$D$16,IF(AND(I128=INCERTEZA!$B$17,J128=INCERTEZA!$C$17),INCERTEZA!$D$17,"-")))))))))))))))</f>
        <v>-</v>
      </c>
      <c r="L128" s="33">
        <f>AEP!CX133</f>
        <v>0</v>
      </c>
      <c r="M128" s="34">
        <f>AEP!CO133</f>
        <v>0</v>
      </c>
      <c r="N128" s="55" t="b">
        <f>IF(AND(L128=monitoramento!$C$4,M128=monitoramento!$D$4),monitoramento!$E$4,IF(AND(L128=monitoramento!$C$5,M128=monitoramento!$D$5),monitoramento!$E$5,IF(AND(L128=monitoramento!$C$6,M128=monitoramento!$D$6),monitoramento!$E$6,IF(AND(L128=monitoramento!$C$7,M128=monitoramento!$D$7),monitoramento!$E$7,IF(AND(L128=monitoramento!$C$8,M128=monitoramento!$D$8),monitoramento!$E$8,IF(AND(L128=monitoramento!$C$9,M128=monitoramento!$D$9),monitoramento!$E$9,IF(AND(L128=monitoramento!$C$10,M128=monitoramento!$D$10),monitoramento!$E$10,IF(AND(L128=monitoramento!$C$11,M128=monitoramento!$D$11),monitoramento!$E$11,IF(AND(L128=monitoramento!$C$12,M128=monitoramento!$D$12),monitoramento!$E$12,IF(AND(L128=monitoramento!$C$13,M128=monitoramento!$D$13),monitoramento!$E$13,IF(AND(L128=monitoramento!$C$14,M128=monitoramento!$D$14),monitoramento!$E$14,IF(AND(L128=monitoramento!$C$15,M128=monitoramento!$D$15),monitoramento!$E$15,IF(AND(L128=monitoramento!$C$16,M128=monitoramento!$D$16),monitoramento!$E$16,IF(AND(L128=monitoramento!$C$17,M128=monitoramento!$D$17),monitoramento!$E$17,IF(AND(L128=monitoramento!$C$18,M128=monitoramento!$D$18),monitoramento!$E$18,IF(AND(L128=monitoramento!$C$19,M128=monitoramento!$D$19),monitoramento!$E$19))))))))))))))))</f>
        <v>0</v>
      </c>
      <c r="O128" s="55"/>
      <c r="P128" s="55"/>
    </row>
    <row r="129" spans="8:16" ht="25.9" customHeight="1" thickBot="1" x14ac:dyDescent="0.25">
      <c r="H129" s="29">
        <f>AEP!BF134</f>
        <v>0</v>
      </c>
      <c r="I129" s="30">
        <f>AEP!BI134</f>
        <v>0</v>
      </c>
      <c r="J129" s="31">
        <f>AEP!BM134</f>
        <v>0</v>
      </c>
      <c r="K129" s="32" t="str">
        <f>IF(AND(I129=INCERTEZA!$B$3,J129=INCERTEZA!$C$3),INCERTEZA!$D$3,IF(AND(I129=INCERTEZA!$B$4,J129=INCERTEZA!$C$4),INCERTEZA!$D$4,IF(AND(I129=INCERTEZA!$B$5,J129=INCERTEZA!$C$5),INCERTEZA!$D$5,IF(AND(I129=INCERTEZA!$B$6,J129=INCERTEZA!$C$6),INCERTEZA!$D$6,IF(AND(I129=INCERTEZA!$B$7,J129=INCERTEZA!$C$7),INCERTEZA!$D$7,IF(AND(I129=INCERTEZA!$B$8,J129=INCERTEZA!$C$8),INCERTEZA!$D$8,IF(AND(I129=INCERTEZA!$B$9,J129=INCERTEZA!$C$9),INCERTEZA!$D$9,IF(AND(I129=INCERTEZA!$B$10,J129=INCERTEZA!$C$10),INCERTEZA!$D$10,IF(AND(I129=INCERTEZA!$B$11,J129=INCERTEZA!$C$11),INCERTEZA!$D$11,IF(AND(I129=INCERTEZA!$B$12,J129=INCERTEZA!$C$12),INCERTEZA!$D$12,IF(AND(I129=INCERTEZA!$B$13,J129=INCERTEZA!$C$13),INCERTEZA!$D$13,IF(AND(I129=INCERTEZA!$B$14,J129=INCERTEZA!$C$14),INCERTEZA!$D$14,IF(AND(I129=INCERTEZA!$B$15,J129=INCERTEZA!$C$15),INCERTEZA!$D$15,IF(AND(I129=INCERTEZA!$B$16,J129=INCERTEZA!$C$16),INCERTEZA!$D$16,IF(AND(I129=INCERTEZA!$B$17,J129=INCERTEZA!$C$17),INCERTEZA!$D$17,"-")))))))))))))))</f>
        <v>-</v>
      </c>
      <c r="L129" s="33">
        <f>AEP!CX134</f>
        <v>0</v>
      </c>
      <c r="M129" s="34">
        <f>AEP!CO134</f>
        <v>0</v>
      </c>
      <c r="N129" s="55" t="b">
        <f>IF(AND(L129=monitoramento!$C$4,M129=monitoramento!$D$4),monitoramento!$E$4,IF(AND(L129=monitoramento!$C$5,M129=monitoramento!$D$5),monitoramento!$E$5,IF(AND(L129=monitoramento!$C$6,M129=monitoramento!$D$6),monitoramento!$E$6,IF(AND(L129=monitoramento!$C$7,M129=monitoramento!$D$7),monitoramento!$E$7,IF(AND(L129=monitoramento!$C$8,M129=monitoramento!$D$8),monitoramento!$E$8,IF(AND(L129=monitoramento!$C$9,M129=monitoramento!$D$9),monitoramento!$E$9,IF(AND(L129=monitoramento!$C$10,M129=monitoramento!$D$10),monitoramento!$E$10,IF(AND(L129=monitoramento!$C$11,M129=monitoramento!$D$11),monitoramento!$E$11,IF(AND(L129=monitoramento!$C$12,M129=monitoramento!$D$12),monitoramento!$E$12,IF(AND(L129=monitoramento!$C$13,M129=monitoramento!$D$13),monitoramento!$E$13,IF(AND(L129=monitoramento!$C$14,M129=monitoramento!$D$14),monitoramento!$E$14,IF(AND(L129=monitoramento!$C$15,M129=monitoramento!$D$15),monitoramento!$E$15,IF(AND(L129=monitoramento!$C$16,M129=monitoramento!$D$16),monitoramento!$E$16,IF(AND(L129=monitoramento!$C$17,M129=monitoramento!$D$17),monitoramento!$E$17,IF(AND(L129=monitoramento!$C$18,M129=monitoramento!$D$18),monitoramento!$E$18,IF(AND(L129=monitoramento!$C$19,M129=monitoramento!$D$19),monitoramento!$E$19))))))))))))))))</f>
        <v>0</v>
      </c>
      <c r="O129" s="55"/>
      <c r="P129" s="55"/>
    </row>
    <row r="130" spans="8:16" ht="25.9" customHeight="1" thickBot="1" x14ac:dyDescent="0.25">
      <c r="H130" s="29">
        <f>AEP!BF135</f>
        <v>0</v>
      </c>
      <c r="I130" s="30">
        <f>AEP!BI135</f>
        <v>0</v>
      </c>
      <c r="J130" s="31">
        <f>AEP!BM135</f>
        <v>0</v>
      </c>
      <c r="K130" s="32" t="str">
        <f>IF(AND(I130=INCERTEZA!$B$3,J130=INCERTEZA!$C$3),INCERTEZA!$D$3,IF(AND(I130=INCERTEZA!$B$4,J130=INCERTEZA!$C$4),INCERTEZA!$D$4,IF(AND(I130=INCERTEZA!$B$5,J130=INCERTEZA!$C$5),INCERTEZA!$D$5,IF(AND(I130=INCERTEZA!$B$6,J130=INCERTEZA!$C$6),INCERTEZA!$D$6,IF(AND(I130=INCERTEZA!$B$7,J130=INCERTEZA!$C$7),INCERTEZA!$D$7,IF(AND(I130=INCERTEZA!$B$8,J130=INCERTEZA!$C$8),INCERTEZA!$D$8,IF(AND(I130=INCERTEZA!$B$9,J130=INCERTEZA!$C$9),INCERTEZA!$D$9,IF(AND(I130=INCERTEZA!$B$10,J130=INCERTEZA!$C$10),INCERTEZA!$D$10,IF(AND(I130=INCERTEZA!$B$11,J130=INCERTEZA!$C$11),INCERTEZA!$D$11,IF(AND(I130=INCERTEZA!$B$12,J130=INCERTEZA!$C$12),INCERTEZA!$D$12,IF(AND(I130=INCERTEZA!$B$13,J130=INCERTEZA!$C$13),INCERTEZA!$D$13,IF(AND(I130=INCERTEZA!$B$14,J130=INCERTEZA!$C$14),INCERTEZA!$D$14,IF(AND(I130=INCERTEZA!$B$15,J130=INCERTEZA!$C$15),INCERTEZA!$D$15,IF(AND(I130=INCERTEZA!$B$16,J130=INCERTEZA!$C$16),INCERTEZA!$D$16,IF(AND(I130=INCERTEZA!$B$17,J130=INCERTEZA!$C$17),INCERTEZA!$D$17,"-")))))))))))))))</f>
        <v>-</v>
      </c>
      <c r="L130" s="33">
        <f>AEP!CX135</f>
        <v>0</v>
      </c>
      <c r="M130" s="34">
        <f>AEP!CO135</f>
        <v>0</v>
      </c>
      <c r="N130" s="55" t="b">
        <f>IF(AND(L130=monitoramento!$C$4,M130=monitoramento!$D$4),monitoramento!$E$4,IF(AND(L130=monitoramento!$C$5,M130=monitoramento!$D$5),monitoramento!$E$5,IF(AND(L130=monitoramento!$C$6,M130=monitoramento!$D$6),monitoramento!$E$6,IF(AND(L130=monitoramento!$C$7,M130=monitoramento!$D$7),monitoramento!$E$7,IF(AND(L130=monitoramento!$C$8,M130=monitoramento!$D$8),monitoramento!$E$8,IF(AND(L130=monitoramento!$C$9,M130=monitoramento!$D$9),monitoramento!$E$9,IF(AND(L130=monitoramento!$C$10,M130=monitoramento!$D$10),monitoramento!$E$10,IF(AND(L130=monitoramento!$C$11,M130=monitoramento!$D$11),monitoramento!$E$11,IF(AND(L130=monitoramento!$C$12,M130=monitoramento!$D$12),monitoramento!$E$12,IF(AND(L130=monitoramento!$C$13,M130=monitoramento!$D$13),monitoramento!$E$13,IF(AND(L130=monitoramento!$C$14,M130=monitoramento!$D$14),monitoramento!$E$14,IF(AND(L130=monitoramento!$C$15,M130=monitoramento!$D$15),monitoramento!$E$15,IF(AND(L130=monitoramento!$C$16,M130=monitoramento!$D$16),monitoramento!$E$16,IF(AND(L130=monitoramento!$C$17,M130=monitoramento!$D$17),monitoramento!$E$17,IF(AND(L130=monitoramento!$C$18,M130=monitoramento!$D$18),monitoramento!$E$18,IF(AND(L130=monitoramento!$C$19,M130=monitoramento!$D$19),monitoramento!$E$19))))))))))))))))</f>
        <v>0</v>
      </c>
      <c r="O130" s="55"/>
      <c r="P130" s="55"/>
    </row>
    <row r="131" spans="8:16" ht="25.9" customHeight="1" thickBot="1" x14ac:dyDescent="0.25">
      <c r="H131" s="29">
        <f>AEP!BF136</f>
        <v>0</v>
      </c>
      <c r="I131" s="30">
        <f>AEP!BI136</f>
        <v>0</v>
      </c>
      <c r="J131" s="31">
        <f>AEP!BM136</f>
        <v>0</v>
      </c>
      <c r="K131" s="32" t="str">
        <f>IF(AND(I131=INCERTEZA!$B$3,J131=INCERTEZA!$C$3),INCERTEZA!$D$3,IF(AND(I131=INCERTEZA!$B$4,J131=INCERTEZA!$C$4),INCERTEZA!$D$4,IF(AND(I131=INCERTEZA!$B$5,J131=INCERTEZA!$C$5),INCERTEZA!$D$5,IF(AND(I131=INCERTEZA!$B$6,J131=INCERTEZA!$C$6),INCERTEZA!$D$6,IF(AND(I131=INCERTEZA!$B$7,J131=INCERTEZA!$C$7),INCERTEZA!$D$7,IF(AND(I131=INCERTEZA!$B$8,J131=INCERTEZA!$C$8),INCERTEZA!$D$8,IF(AND(I131=INCERTEZA!$B$9,J131=INCERTEZA!$C$9),INCERTEZA!$D$9,IF(AND(I131=INCERTEZA!$B$10,J131=INCERTEZA!$C$10),INCERTEZA!$D$10,IF(AND(I131=INCERTEZA!$B$11,J131=INCERTEZA!$C$11),INCERTEZA!$D$11,IF(AND(I131=INCERTEZA!$B$12,J131=INCERTEZA!$C$12),INCERTEZA!$D$12,IF(AND(I131=INCERTEZA!$B$13,J131=INCERTEZA!$C$13),INCERTEZA!$D$13,IF(AND(I131=INCERTEZA!$B$14,J131=INCERTEZA!$C$14),INCERTEZA!$D$14,IF(AND(I131=INCERTEZA!$B$15,J131=INCERTEZA!$C$15),INCERTEZA!$D$15,IF(AND(I131=INCERTEZA!$B$16,J131=INCERTEZA!$C$16),INCERTEZA!$D$16,IF(AND(I131=INCERTEZA!$B$17,J131=INCERTEZA!$C$17),INCERTEZA!$D$17,"-")))))))))))))))</f>
        <v>-</v>
      </c>
      <c r="L131" s="33">
        <f>AEP!CX136</f>
        <v>0</v>
      </c>
      <c r="M131" s="34">
        <f>AEP!CO136</f>
        <v>0</v>
      </c>
      <c r="N131" s="55" t="b">
        <f>IF(AND(L131=monitoramento!$C$4,M131=monitoramento!$D$4),monitoramento!$E$4,IF(AND(L131=monitoramento!$C$5,M131=monitoramento!$D$5),monitoramento!$E$5,IF(AND(L131=monitoramento!$C$6,M131=monitoramento!$D$6),monitoramento!$E$6,IF(AND(L131=monitoramento!$C$7,M131=monitoramento!$D$7),monitoramento!$E$7,IF(AND(L131=monitoramento!$C$8,M131=monitoramento!$D$8),monitoramento!$E$8,IF(AND(L131=monitoramento!$C$9,M131=monitoramento!$D$9),monitoramento!$E$9,IF(AND(L131=monitoramento!$C$10,M131=monitoramento!$D$10),monitoramento!$E$10,IF(AND(L131=monitoramento!$C$11,M131=monitoramento!$D$11),monitoramento!$E$11,IF(AND(L131=monitoramento!$C$12,M131=monitoramento!$D$12),monitoramento!$E$12,IF(AND(L131=monitoramento!$C$13,M131=monitoramento!$D$13),monitoramento!$E$13,IF(AND(L131=monitoramento!$C$14,M131=monitoramento!$D$14),monitoramento!$E$14,IF(AND(L131=monitoramento!$C$15,M131=monitoramento!$D$15),monitoramento!$E$15,IF(AND(L131=monitoramento!$C$16,M131=monitoramento!$D$16),monitoramento!$E$16,IF(AND(L131=monitoramento!$C$17,M131=monitoramento!$D$17),monitoramento!$E$17,IF(AND(L131=monitoramento!$C$18,M131=monitoramento!$D$18),monitoramento!$E$18,IF(AND(L131=monitoramento!$C$19,M131=monitoramento!$D$19),monitoramento!$E$19))))))))))))))))</f>
        <v>0</v>
      </c>
      <c r="O131" s="55"/>
      <c r="P131" s="55"/>
    </row>
    <row r="132" spans="8:16" ht="25.9" customHeight="1" thickBot="1" x14ac:dyDescent="0.25">
      <c r="H132" s="29">
        <f>AEP!BF137</f>
        <v>0</v>
      </c>
      <c r="I132" s="30">
        <f>AEP!BI137</f>
        <v>0</v>
      </c>
      <c r="J132" s="31">
        <f>AEP!BM137</f>
        <v>0</v>
      </c>
      <c r="K132" s="32" t="str">
        <f>IF(AND(I132=INCERTEZA!$B$3,J132=INCERTEZA!$C$3),INCERTEZA!$D$3,IF(AND(I132=INCERTEZA!$B$4,J132=INCERTEZA!$C$4),INCERTEZA!$D$4,IF(AND(I132=INCERTEZA!$B$5,J132=INCERTEZA!$C$5),INCERTEZA!$D$5,IF(AND(I132=INCERTEZA!$B$6,J132=INCERTEZA!$C$6),INCERTEZA!$D$6,IF(AND(I132=INCERTEZA!$B$7,J132=INCERTEZA!$C$7),INCERTEZA!$D$7,IF(AND(I132=INCERTEZA!$B$8,J132=INCERTEZA!$C$8),INCERTEZA!$D$8,IF(AND(I132=INCERTEZA!$B$9,J132=INCERTEZA!$C$9),INCERTEZA!$D$9,IF(AND(I132=INCERTEZA!$B$10,J132=INCERTEZA!$C$10),INCERTEZA!$D$10,IF(AND(I132=INCERTEZA!$B$11,J132=INCERTEZA!$C$11),INCERTEZA!$D$11,IF(AND(I132=INCERTEZA!$B$12,J132=INCERTEZA!$C$12),INCERTEZA!$D$12,IF(AND(I132=INCERTEZA!$B$13,J132=INCERTEZA!$C$13),INCERTEZA!$D$13,IF(AND(I132=INCERTEZA!$B$14,J132=INCERTEZA!$C$14),INCERTEZA!$D$14,IF(AND(I132=INCERTEZA!$B$15,J132=INCERTEZA!$C$15),INCERTEZA!$D$15,IF(AND(I132=INCERTEZA!$B$16,J132=INCERTEZA!$C$16),INCERTEZA!$D$16,IF(AND(I132=INCERTEZA!$B$17,J132=INCERTEZA!$C$17),INCERTEZA!$D$17,"-")))))))))))))))</f>
        <v>-</v>
      </c>
      <c r="L132" s="33">
        <f>AEP!CX137</f>
        <v>0</v>
      </c>
      <c r="M132" s="34">
        <f>AEP!CO137</f>
        <v>0</v>
      </c>
      <c r="N132" s="55" t="b">
        <f>IF(AND(L132=monitoramento!$C$4,M132=monitoramento!$D$4),monitoramento!$E$4,IF(AND(L132=monitoramento!$C$5,M132=monitoramento!$D$5),monitoramento!$E$5,IF(AND(L132=monitoramento!$C$6,M132=monitoramento!$D$6),monitoramento!$E$6,IF(AND(L132=monitoramento!$C$7,M132=monitoramento!$D$7),monitoramento!$E$7,IF(AND(L132=monitoramento!$C$8,M132=monitoramento!$D$8),monitoramento!$E$8,IF(AND(L132=monitoramento!$C$9,M132=monitoramento!$D$9),monitoramento!$E$9,IF(AND(L132=monitoramento!$C$10,M132=monitoramento!$D$10),monitoramento!$E$10,IF(AND(L132=monitoramento!$C$11,M132=monitoramento!$D$11),monitoramento!$E$11,IF(AND(L132=monitoramento!$C$12,M132=monitoramento!$D$12),monitoramento!$E$12,IF(AND(L132=monitoramento!$C$13,M132=monitoramento!$D$13),monitoramento!$E$13,IF(AND(L132=monitoramento!$C$14,M132=monitoramento!$D$14),monitoramento!$E$14,IF(AND(L132=monitoramento!$C$15,M132=monitoramento!$D$15),monitoramento!$E$15,IF(AND(L132=monitoramento!$C$16,M132=monitoramento!$D$16),monitoramento!$E$16,IF(AND(L132=monitoramento!$C$17,M132=monitoramento!$D$17),monitoramento!$E$17,IF(AND(L132=monitoramento!$C$18,M132=monitoramento!$D$18),monitoramento!$E$18,IF(AND(L132=monitoramento!$C$19,M132=monitoramento!$D$19),monitoramento!$E$19))))))))))))))))</f>
        <v>0</v>
      </c>
      <c r="O132" s="55"/>
      <c r="P132" s="55"/>
    </row>
    <row r="133" spans="8:16" ht="25.9" customHeight="1" thickBot="1" x14ac:dyDescent="0.25">
      <c r="H133" s="29">
        <f>AEP!BF138</f>
        <v>0</v>
      </c>
      <c r="I133" s="30">
        <f>AEP!BI138</f>
        <v>0</v>
      </c>
      <c r="J133" s="31">
        <f>AEP!BM138</f>
        <v>0</v>
      </c>
      <c r="K133" s="32" t="str">
        <f>IF(AND(I133=INCERTEZA!$B$3,J133=INCERTEZA!$C$3),INCERTEZA!$D$3,IF(AND(I133=INCERTEZA!$B$4,J133=INCERTEZA!$C$4),INCERTEZA!$D$4,IF(AND(I133=INCERTEZA!$B$5,J133=INCERTEZA!$C$5),INCERTEZA!$D$5,IF(AND(I133=INCERTEZA!$B$6,J133=INCERTEZA!$C$6),INCERTEZA!$D$6,IF(AND(I133=INCERTEZA!$B$7,J133=INCERTEZA!$C$7),INCERTEZA!$D$7,IF(AND(I133=INCERTEZA!$B$8,J133=INCERTEZA!$C$8),INCERTEZA!$D$8,IF(AND(I133=INCERTEZA!$B$9,J133=INCERTEZA!$C$9),INCERTEZA!$D$9,IF(AND(I133=INCERTEZA!$B$10,J133=INCERTEZA!$C$10),INCERTEZA!$D$10,IF(AND(I133=INCERTEZA!$B$11,J133=INCERTEZA!$C$11),INCERTEZA!$D$11,IF(AND(I133=INCERTEZA!$B$12,J133=INCERTEZA!$C$12),INCERTEZA!$D$12,IF(AND(I133=INCERTEZA!$B$13,J133=INCERTEZA!$C$13),INCERTEZA!$D$13,IF(AND(I133=INCERTEZA!$B$14,J133=INCERTEZA!$C$14),INCERTEZA!$D$14,IF(AND(I133=INCERTEZA!$B$15,J133=INCERTEZA!$C$15),INCERTEZA!$D$15,IF(AND(I133=INCERTEZA!$B$16,J133=INCERTEZA!$C$16),INCERTEZA!$D$16,IF(AND(I133=INCERTEZA!$B$17,J133=INCERTEZA!$C$17),INCERTEZA!$D$17,"-")))))))))))))))</f>
        <v>-</v>
      </c>
      <c r="L133" s="33">
        <f>AEP!CX138</f>
        <v>0</v>
      </c>
      <c r="M133" s="34">
        <f>AEP!CO138</f>
        <v>0</v>
      </c>
      <c r="N133" s="55" t="b">
        <f>IF(AND(L133=monitoramento!$C$4,M133=monitoramento!$D$4),monitoramento!$E$4,IF(AND(L133=monitoramento!$C$5,M133=monitoramento!$D$5),monitoramento!$E$5,IF(AND(L133=monitoramento!$C$6,M133=monitoramento!$D$6),monitoramento!$E$6,IF(AND(L133=monitoramento!$C$7,M133=monitoramento!$D$7),monitoramento!$E$7,IF(AND(L133=monitoramento!$C$8,M133=monitoramento!$D$8),monitoramento!$E$8,IF(AND(L133=monitoramento!$C$9,M133=monitoramento!$D$9),monitoramento!$E$9,IF(AND(L133=monitoramento!$C$10,M133=monitoramento!$D$10),monitoramento!$E$10,IF(AND(L133=monitoramento!$C$11,M133=monitoramento!$D$11),monitoramento!$E$11,IF(AND(L133=monitoramento!$C$12,M133=monitoramento!$D$12),monitoramento!$E$12,IF(AND(L133=monitoramento!$C$13,M133=monitoramento!$D$13),monitoramento!$E$13,IF(AND(L133=monitoramento!$C$14,M133=monitoramento!$D$14),monitoramento!$E$14,IF(AND(L133=monitoramento!$C$15,M133=monitoramento!$D$15),monitoramento!$E$15,IF(AND(L133=monitoramento!$C$16,M133=monitoramento!$D$16),monitoramento!$E$16,IF(AND(L133=monitoramento!$C$17,M133=monitoramento!$D$17),monitoramento!$E$17,IF(AND(L133=monitoramento!$C$18,M133=monitoramento!$D$18),monitoramento!$E$18,IF(AND(L133=monitoramento!$C$19,M133=monitoramento!$D$19),monitoramento!$E$19))))))))))))))))</f>
        <v>0</v>
      </c>
      <c r="O133" s="55"/>
      <c r="P133" s="55"/>
    </row>
    <row r="134" spans="8:16" ht="25.9" customHeight="1" thickBot="1" x14ac:dyDescent="0.25">
      <c r="H134" s="29">
        <f>AEP!BF139</f>
        <v>0</v>
      </c>
      <c r="I134" s="30">
        <f>AEP!BI139</f>
        <v>0</v>
      </c>
      <c r="J134" s="31">
        <f>AEP!BM139</f>
        <v>0</v>
      </c>
      <c r="K134" s="32" t="str">
        <f>IF(AND(I134=INCERTEZA!$B$3,J134=INCERTEZA!$C$3),INCERTEZA!$D$3,IF(AND(I134=INCERTEZA!$B$4,J134=INCERTEZA!$C$4),INCERTEZA!$D$4,IF(AND(I134=INCERTEZA!$B$5,J134=INCERTEZA!$C$5),INCERTEZA!$D$5,IF(AND(I134=INCERTEZA!$B$6,J134=INCERTEZA!$C$6),INCERTEZA!$D$6,IF(AND(I134=INCERTEZA!$B$7,J134=INCERTEZA!$C$7),INCERTEZA!$D$7,IF(AND(I134=INCERTEZA!$B$8,J134=INCERTEZA!$C$8),INCERTEZA!$D$8,IF(AND(I134=INCERTEZA!$B$9,J134=INCERTEZA!$C$9),INCERTEZA!$D$9,IF(AND(I134=INCERTEZA!$B$10,J134=INCERTEZA!$C$10),INCERTEZA!$D$10,IF(AND(I134=INCERTEZA!$B$11,J134=INCERTEZA!$C$11),INCERTEZA!$D$11,IF(AND(I134=INCERTEZA!$B$12,J134=INCERTEZA!$C$12),INCERTEZA!$D$12,IF(AND(I134=INCERTEZA!$B$13,J134=INCERTEZA!$C$13),INCERTEZA!$D$13,IF(AND(I134=INCERTEZA!$B$14,J134=INCERTEZA!$C$14),INCERTEZA!$D$14,IF(AND(I134=INCERTEZA!$B$15,J134=INCERTEZA!$C$15),INCERTEZA!$D$15,IF(AND(I134=INCERTEZA!$B$16,J134=INCERTEZA!$C$16),INCERTEZA!$D$16,IF(AND(I134=INCERTEZA!$B$17,J134=INCERTEZA!$C$17),INCERTEZA!$D$17,"-")))))))))))))))</f>
        <v>-</v>
      </c>
      <c r="L134" s="33">
        <f>AEP!CX139</f>
        <v>0</v>
      </c>
      <c r="M134" s="34">
        <f>AEP!CO139</f>
        <v>0</v>
      </c>
      <c r="N134" s="55" t="b">
        <f>IF(AND(L134=monitoramento!$C$4,M134=monitoramento!$D$4),monitoramento!$E$4,IF(AND(L134=monitoramento!$C$5,M134=monitoramento!$D$5),monitoramento!$E$5,IF(AND(L134=monitoramento!$C$6,M134=monitoramento!$D$6),monitoramento!$E$6,IF(AND(L134=monitoramento!$C$7,M134=monitoramento!$D$7),monitoramento!$E$7,IF(AND(L134=monitoramento!$C$8,M134=monitoramento!$D$8),monitoramento!$E$8,IF(AND(L134=monitoramento!$C$9,M134=monitoramento!$D$9),monitoramento!$E$9,IF(AND(L134=monitoramento!$C$10,M134=monitoramento!$D$10),monitoramento!$E$10,IF(AND(L134=monitoramento!$C$11,M134=monitoramento!$D$11),monitoramento!$E$11,IF(AND(L134=monitoramento!$C$12,M134=monitoramento!$D$12),monitoramento!$E$12,IF(AND(L134=monitoramento!$C$13,M134=monitoramento!$D$13),monitoramento!$E$13,IF(AND(L134=monitoramento!$C$14,M134=monitoramento!$D$14),monitoramento!$E$14,IF(AND(L134=monitoramento!$C$15,M134=monitoramento!$D$15),monitoramento!$E$15,IF(AND(L134=monitoramento!$C$16,M134=monitoramento!$D$16),monitoramento!$E$16,IF(AND(L134=monitoramento!$C$17,M134=monitoramento!$D$17),monitoramento!$E$17,IF(AND(L134=monitoramento!$C$18,M134=monitoramento!$D$18),monitoramento!$E$18,IF(AND(L134=monitoramento!$C$19,M134=monitoramento!$D$19),monitoramento!$E$19))))))))))))))))</f>
        <v>0</v>
      </c>
      <c r="O134" s="55"/>
      <c r="P134" s="55"/>
    </row>
    <row r="135" spans="8:16" ht="25.9" customHeight="1" thickBot="1" x14ac:dyDescent="0.25">
      <c r="H135" s="29">
        <f>AEP!BF140</f>
        <v>0</v>
      </c>
      <c r="I135" s="30">
        <f>AEP!BI140</f>
        <v>0</v>
      </c>
      <c r="J135" s="31">
        <f>AEP!BM140</f>
        <v>0</v>
      </c>
      <c r="K135" s="32" t="str">
        <f>IF(AND(I135=INCERTEZA!$B$3,J135=INCERTEZA!$C$3),INCERTEZA!$D$3,IF(AND(I135=INCERTEZA!$B$4,J135=INCERTEZA!$C$4),INCERTEZA!$D$4,IF(AND(I135=INCERTEZA!$B$5,J135=INCERTEZA!$C$5),INCERTEZA!$D$5,IF(AND(I135=INCERTEZA!$B$6,J135=INCERTEZA!$C$6),INCERTEZA!$D$6,IF(AND(I135=INCERTEZA!$B$7,J135=INCERTEZA!$C$7),INCERTEZA!$D$7,IF(AND(I135=INCERTEZA!$B$8,J135=INCERTEZA!$C$8),INCERTEZA!$D$8,IF(AND(I135=INCERTEZA!$B$9,J135=INCERTEZA!$C$9),INCERTEZA!$D$9,IF(AND(I135=INCERTEZA!$B$10,J135=INCERTEZA!$C$10),INCERTEZA!$D$10,IF(AND(I135=INCERTEZA!$B$11,J135=INCERTEZA!$C$11),INCERTEZA!$D$11,IF(AND(I135=INCERTEZA!$B$12,J135=INCERTEZA!$C$12),INCERTEZA!$D$12,IF(AND(I135=INCERTEZA!$B$13,J135=INCERTEZA!$C$13),INCERTEZA!$D$13,IF(AND(I135=INCERTEZA!$B$14,J135=INCERTEZA!$C$14),INCERTEZA!$D$14,IF(AND(I135=INCERTEZA!$B$15,J135=INCERTEZA!$C$15),INCERTEZA!$D$15,IF(AND(I135=INCERTEZA!$B$16,J135=INCERTEZA!$C$16),INCERTEZA!$D$16,IF(AND(I135=INCERTEZA!$B$17,J135=INCERTEZA!$C$17),INCERTEZA!$D$17,"-")))))))))))))))</f>
        <v>-</v>
      </c>
      <c r="L135" s="33">
        <f>AEP!CX140</f>
        <v>0</v>
      </c>
      <c r="M135" s="34">
        <f>AEP!CO140</f>
        <v>0</v>
      </c>
      <c r="N135" s="55" t="b">
        <f>IF(AND(L135=monitoramento!$C$4,M135=monitoramento!$D$4),monitoramento!$E$4,IF(AND(L135=monitoramento!$C$5,M135=monitoramento!$D$5),monitoramento!$E$5,IF(AND(L135=monitoramento!$C$6,M135=monitoramento!$D$6),monitoramento!$E$6,IF(AND(L135=monitoramento!$C$7,M135=monitoramento!$D$7),monitoramento!$E$7,IF(AND(L135=monitoramento!$C$8,M135=monitoramento!$D$8),monitoramento!$E$8,IF(AND(L135=monitoramento!$C$9,M135=monitoramento!$D$9),monitoramento!$E$9,IF(AND(L135=monitoramento!$C$10,M135=monitoramento!$D$10),monitoramento!$E$10,IF(AND(L135=monitoramento!$C$11,M135=monitoramento!$D$11),monitoramento!$E$11,IF(AND(L135=monitoramento!$C$12,M135=monitoramento!$D$12),monitoramento!$E$12,IF(AND(L135=monitoramento!$C$13,M135=monitoramento!$D$13),monitoramento!$E$13,IF(AND(L135=monitoramento!$C$14,M135=monitoramento!$D$14),monitoramento!$E$14,IF(AND(L135=monitoramento!$C$15,M135=monitoramento!$D$15),monitoramento!$E$15,IF(AND(L135=monitoramento!$C$16,M135=monitoramento!$D$16),monitoramento!$E$16,IF(AND(L135=monitoramento!$C$17,M135=monitoramento!$D$17),monitoramento!$E$17,IF(AND(L135=monitoramento!$C$18,M135=monitoramento!$D$18),monitoramento!$E$18,IF(AND(L135=monitoramento!$C$19,M135=monitoramento!$D$19),monitoramento!$E$19))))))))))))))))</f>
        <v>0</v>
      </c>
      <c r="O135" s="55"/>
      <c r="P135" s="55"/>
    </row>
    <row r="136" spans="8:16" ht="25.9" customHeight="1" thickBot="1" x14ac:dyDescent="0.25">
      <c r="H136" s="29">
        <f>AEP!BF141</f>
        <v>0</v>
      </c>
      <c r="I136" s="30">
        <f>AEP!BI141</f>
        <v>0</v>
      </c>
      <c r="J136" s="31">
        <f>AEP!BM141</f>
        <v>0</v>
      </c>
      <c r="K136" s="32" t="str">
        <f>IF(AND(I136=INCERTEZA!$B$3,J136=INCERTEZA!$C$3),INCERTEZA!$D$3,IF(AND(I136=INCERTEZA!$B$4,J136=INCERTEZA!$C$4),INCERTEZA!$D$4,IF(AND(I136=INCERTEZA!$B$5,J136=INCERTEZA!$C$5),INCERTEZA!$D$5,IF(AND(I136=INCERTEZA!$B$6,J136=INCERTEZA!$C$6),INCERTEZA!$D$6,IF(AND(I136=INCERTEZA!$B$7,J136=INCERTEZA!$C$7),INCERTEZA!$D$7,IF(AND(I136=INCERTEZA!$B$8,J136=INCERTEZA!$C$8),INCERTEZA!$D$8,IF(AND(I136=INCERTEZA!$B$9,J136=INCERTEZA!$C$9),INCERTEZA!$D$9,IF(AND(I136=INCERTEZA!$B$10,J136=INCERTEZA!$C$10),INCERTEZA!$D$10,IF(AND(I136=INCERTEZA!$B$11,J136=INCERTEZA!$C$11),INCERTEZA!$D$11,IF(AND(I136=INCERTEZA!$B$12,J136=INCERTEZA!$C$12),INCERTEZA!$D$12,IF(AND(I136=INCERTEZA!$B$13,J136=INCERTEZA!$C$13),INCERTEZA!$D$13,IF(AND(I136=INCERTEZA!$B$14,J136=INCERTEZA!$C$14),INCERTEZA!$D$14,IF(AND(I136=INCERTEZA!$B$15,J136=INCERTEZA!$C$15),INCERTEZA!$D$15,IF(AND(I136=INCERTEZA!$B$16,J136=INCERTEZA!$C$16),INCERTEZA!$D$16,IF(AND(I136=INCERTEZA!$B$17,J136=INCERTEZA!$C$17),INCERTEZA!$D$17,"-")))))))))))))))</f>
        <v>-</v>
      </c>
      <c r="L136" s="33">
        <f>AEP!CX141</f>
        <v>0</v>
      </c>
      <c r="M136" s="34">
        <f>AEP!CO141</f>
        <v>0</v>
      </c>
      <c r="N136" s="55" t="b">
        <f>IF(AND(L136=monitoramento!$C$4,M136=monitoramento!$D$4),monitoramento!$E$4,IF(AND(L136=monitoramento!$C$5,M136=monitoramento!$D$5),monitoramento!$E$5,IF(AND(L136=monitoramento!$C$6,M136=monitoramento!$D$6),monitoramento!$E$6,IF(AND(L136=monitoramento!$C$7,M136=monitoramento!$D$7),monitoramento!$E$7,IF(AND(L136=monitoramento!$C$8,M136=monitoramento!$D$8),monitoramento!$E$8,IF(AND(L136=monitoramento!$C$9,M136=monitoramento!$D$9),monitoramento!$E$9,IF(AND(L136=monitoramento!$C$10,M136=monitoramento!$D$10),monitoramento!$E$10,IF(AND(L136=monitoramento!$C$11,M136=monitoramento!$D$11),monitoramento!$E$11,IF(AND(L136=monitoramento!$C$12,M136=monitoramento!$D$12),monitoramento!$E$12,IF(AND(L136=monitoramento!$C$13,M136=monitoramento!$D$13),monitoramento!$E$13,IF(AND(L136=monitoramento!$C$14,M136=monitoramento!$D$14),monitoramento!$E$14,IF(AND(L136=monitoramento!$C$15,M136=monitoramento!$D$15),monitoramento!$E$15,IF(AND(L136=monitoramento!$C$16,M136=monitoramento!$D$16),monitoramento!$E$16,IF(AND(L136=monitoramento!$C$17,M136=monitoramento!$D$17),monitoramento!$E$17,IF(AND(L136=monitoramento!$C$18,M136=monitoramento!$D$18),monitoramento!$E$18,IF(AND(L136=monitoramento!$C$19,M136=monitoramento!$D$19),monitoramento!$E$19))))))))))))))))</f>
        <v>0</v>
      </c>
      <c r="O136" s="55"/>
      <c r="P136" s="55"/>
    </row>
    <row r="137" spans="8:16" ht="25.9" customHeight="1" thickBot="1" x14ac:dyDescent="0.25">
      <c r="H137" s="29">
        <f>AEP!BF142</f>
        <v>0</v>
      </c>
      <c r="I137" s="30">
        <f>AEP!BI142</f>
        <v>0</v>
      </c>
      <c r="J137" s="31">
        <f>AEP!BM142</f>
        <v>0</v>
      </c>
      <c r="K137" s="32" t="str">
        <f>IF(AND(I137=INCERTEZA!$B$3,J137=INCERTEZA!$C$3),INCERTEZA!$D$3,IF(AND(I137=INCERTEZA!$B$4,J137=INCERTEZA!$C$4),INCERTEZA!$D$4,IF(AND(I137=INCERTEZA!$B$5,J137=INCERTEZA!$C$5),INCERTEZA!$D$5,IF(AND(I137=INCERTEZA!$B$6,J137=INCERTEZA!$C$6),INCERTEZA!$D$6,IF(AND(I137=INCERTEZA!$B$7,J137=INCERTEZA!$C$7),INCERTEZA!$D$7,IF(AND(I137=INCERTEZA!$B$8,J137=INCERTEZA!$C$8),INCERTEZA!$D$8,IF(AND(I137=INCERTEZA!$B$9,J137=INCERTEZA!$C$9),INCERTEZA!$D$9,IF(AND(I137=INCERTEZA!$B$10,J137=INCERTEZA!$C$10),INCERTEZA!$D$10,IF(AND(I137=INCERTEZA!$B$11,J137=INCERTEZA!$C$11),INCERTEZA!$D$11,IF(AND(I137=INCERTEZA!$B$12,J137=INCERTEZA!$C$12),INCERTEZA!$D$12,IF(AND(I137=INCERTEZA!$B$13,J137=INCERTEZA!$C$13),INCERTEZA!$D$13,IF(AND(I137=INCERTEZA!$B$14,J137=INCERTEZA!$C$14),INCERTEZA!$D$14,IF(AND(I137=INCERTEZA!$B$15,J137=INCERTEZA!$C$15),INCERTEZA!$D$15,IF(AND(I137=INCERTEZA!$B$16,J137=INCERTEZA!$C$16),INCERTEZA!$D$16,IF(AND(I137=INCERTEZA!$B$17,J137=INCERTEZA!$C$17),INCERTEZA!$D$17,"-")))))))))))))))</f>
        <v>-</v>
      </c>
      <c r="L137" s="33">
        <f>AEP!CX142</f>
        <v>0</v>
      </c>
      <c r="M137" s="34">
        <f>AEP!CO142</f>
        <v>0</v>
      </c>
      <c r="N137" s="55" t="b">
        <f>IF(AND(L137=monitoramento!$C$4,M137=monitoramento!$D$4),monitoramento!$E$4,IF(AND(L137=monitoramento!$C$5,M137=monitoramento!$D$5),monitoramento!$E$5,IF(AND(L137=monitoramento!$C$6,M137=monitoramento!$D$6),monitoramento!$E$6,IF(AND(L137=monitoramento!$C$7,M137=monitoramento!$D$7),monitoramento!$E$7,IF(AND(L137=monitoramento!$C$8,M137=monitoramento!$D$8),monitoramento!$E$8,IF(AND(L137=monitoramento!$C$9,M137=monitoramento!$D$9),monitoramento!$E$9,IF(AND(L137=monitoramento!$C$10,M137=monitoramento!$D$10),monitoramento!$E$10,IF(AND(L137=monitoramento!$C$11,M137=monitoramento!$D$11),monitoramento!$E$11,IF(AND(L137=monitoramento!$C$12,M137=monitoramento!$D$12),monitoramento!$E$12,IF(AND(L137=monitoramento!$C$13,M137=monitoramento!$D$13),monitoramento!$E$13,IF(AND(L137=monitoramento!$C$14,M137=monitoramento!$D$14),monitoramento!$E$14,IF(AND(L137=monitoramento!$C$15,M137=monitoramento!$D$15),monitoramento!$E$15,IF(AND(L137=monitoramento!$C$16,M137=monitoramento!$D$16),monitoramento!$E$16,IF(AND(L137=monitoramento!$C$17,M137=monitoramento!$D$17),monitoramento!$E$17,IF(AND(L137=monitoramento!$C$18,M137=monitoramento!$D$18),monitoramento!$E$18,IF(AND(L137=monitoramento!$C$19,M137=monitoramento!$D$19),monitoramento!$E$19))))))))))))))))</f>
        <v>0</v>
      </c>
      <c r="O137" s="55"/>
      <c r="P137" s="55"/>
    </row>
    <row r="138" spans="8:16" ht="25.9" customHeight="1" thickBot="1" x14ac:dyDescent="0.25">
      <c r="H138" s="29">
        <f>AEP!BF143</f>
        <v>0</v>
      </c>
      <c r="I138" s="30">
        <f>AEP!BI143</f>
        <v>0</v>
      </c>
      <c r="J138" s="31">
        <f>AEP!BM143</f>
        <v>0</v>
      </c>
      <c r="K138" s="32" t="str">
        <f>IF(AND(I138=INCERTEZA!$B$3,J138=INCERTEZA!$C$3),INCERTEZA!$D$3,IF(AND(I138=INCERTEZA!$B$4,J138=INCERTEZA!$C$4),INCERTEZA!$D$4,IF(AND(I138=INCERTEZA!$B$5,J138=INCERTEZA!$C$5),INCERTEZA!$D$5,IF(AND(I138=INCERTEZA!$B$6,J138=INCERTEZA!$C$6),INCERTEZA!$D$6,IF(AND(I138=INCERTEZA!$B$7,J138=INCERTEZA!$C$7),INCERTEZA!$D$7,IF(AND(I138=INCERTEZA!$B$8,J138=INCERTEZA!$C$8),INCERTEZA!$D$8,IF(AND(I138=INCERTEZA!$B$9,J138=INCERTEZA!$C$9),INCERTEZA!$D$9,IF(AND(I138=INCERTEZA!$B$10,J138=INCERTEZA!$C$10),INCERTEZA!$D$10,IF(AND(I138=INCERTEZA!$B$11,J138=INCERTEZA!$C$11),INCERTEZA!$D$11,IF(AND(I138=INCERTEZA!$B$12,J138=INCERTEZA!$C$12),INCERTEZA!$D$12,IF(AND(I138=INCERTEZA!$B$13,J138=INCERTEZA!$C$13),INCERTEZA!$D$13,IF(AND(I138=INCERTEZA!$B$14,J138=INCERTEZA!$C$14),INCERTEZA!$D$14,IF(AND(I138=INCERTEZA!$B$15,J138=INCERTEZA!$C$15),INCERTEZA!$D$15,IF(AND(I138=INCERTEZA!$B$16,J138=INCERTEZA!$C$16),INCERTEZA!$D$16,IF(AND(I138=INCERTEZA!$B$17,J138=INCERTEZA!$C$17),INCERTEZA!$D$17,"-")))))))))))))))</f>
        <v>-</v>
      </c>
      <c r="L138" s="33">
        <f>AEP!CX143</f>
        <v>0</v>
      </c>
      <c r="M138" s="34">
        <f>AEP!CO143</f>
        <v>0</v>
      </c>
      <c r="N138" s="55" t="b">
        <f>IF(AND(L138=monitoramento!$C$4,M138=monitoramento!$D$4),monitoramento!$E$4,IF(AND(L138=monitoramento!$C$5,M138=monitoramento!$D$5),monitoramento!$E$5,IF(AND(L138=monitoramento!$C$6,M138=monitoramento!$D$6),monitoramento!$E$6,IF(AND(L138=monitoramento!$C$7,M138=monitoramento!$D$7),monitoramento!$E$7,IF(AND(L138=monitoramento!$C$8,M138=monitoramento!$D$8),monitoramento!$E$8,IF(AND(L138=monitoramento!$C$9,M138=monitoramento!$D$9),monitoramento!$E$9,IF(AND(L138=monitoramento!$C$10,M138=monitoramento!$D$10),monitoramento!$E$10,IF(AND(L138=monitoramento!$C$11,M138=monitoramento!$D$11),monitoramento!$E$11,IF(AND(L138=monitoramento!$C$12,M138=monitoramento!$D$12),monitoramento!$E$12,IF(AND(L138=monitoramento!$C$13,M138=monitoramento!$D$13),monitoramento!$E$13,IF(AND(L138=monitoramento!$C$14,M138=monitoramento!$D$14),monitoramento!$E$14,IF(AND(L138=monitoramento!$C$15,M138=monitoramento!$D$15),monitoramento!$E$15,IF(AND(L138=monitoramento!$C$16,M138=monitoramento!$D$16),monitoramento!$E$16,IF(AND(L138=monitoramento!$C$17,M138=monitoramento!$D$17),monitoramento!$E$17,IF(AND(L138=monitoramento!$C$18,M138=monitoramento!$D$18),monitoramento!$E$18,IF(AND(L138=monitoramento!$C$19,M138=monitoramento!$D$19),monitoramento!$E$19))))))))))))))))</f>
        <v>0</v>
      </c>
      <c r="O138" s="55"/>
      <c r="P138" s="55"/>
    </row>
    <row r="139" spans="8:16" ht="25.9" customHeight="1" thickBot="1" x14ac:dyDescent="0.25">
      <c r="H139" s="29">
        <f>AEP!BF144</f>
        <v>0</v>
      </c>
      <c r="I139" s="30">
        <f>AEP!BI144</f>
        <v>0</v>
      </c>
      <c r="J139" s="31">
        <f>AEP!BM144</f>
        <v>0</v>
      </c>
      <c r="K139" s="32" t="str">
        <f>IF(AND(I139=INCERTEZA!$B$3,J139=INCERTEZA!$C$3),INCERTEZA!$D$3,IF(AND(I139=INCERTEZA!$B$4,J139=INCERTEZA!$C$4),INCERTEZA!$D$4,IF(AND(I139=INCERTEZA!$B$5,J139=INCERTEZA!$C$5),INCERTEZA!$D$5,IF(AND(I139=INCERTEZA!$B$6,J139=INCERTEZA!$C$6),INCERTEZA!$D$6,IF(AND(I139=INCERTEZA!$B$7,J139=INCERTEZA!$C$7),INCERTEZA!$D$7,IF(AND(I139=INCERTEZA!$B$8,J139=INCERTEZA!$C$8),INCERTEZA!$D$8,IF(AND(I139=INCERTEZA!$B$9,J139=INCERTEZA!$C$9),INCERTEZA!$D$9,IF(AND(I139=INCERTEZA!$B$10,J139=INCERTEZA!$C$10),INCERTEZA!$D$10,IF(AND(I139=INCERTEZA!$B$11,J139=INCERTEZA!$C$11),INCERTEZA!$D$11,IF(AND(I139=INCERTEZA!$B$12,J139=INCERTEZA!$C$12),INCERTEZA!$D$12,IF(AND(I139=INCERTEZA!$B$13,J139=INCERTEZA!$C$13),INCERTEZA!$D$13,IF(AND(I139=INCERTEZA!$B$14,J139=INCERTEZA!$C$14),INCERTEZA!$D$14,IF(AND(I139=INCERTEZA!$B$15,J139=INCERTEZA!$C$15),INCERTEZA!$D$15,IF(AND(I139=INCERTEZA!$B$16,J139=INCERTEZA!$C$16),INCERTEZA!$D$16,IF(AND(I139=INCERTEZA!$B$17,J139=INCERTEZA!$C$17),INCERTEZA!$D$17,"-")))))))))))))))</f>
        <v>-</v>
      </c>
      <c r="L139" s="33">
        <f>AEP!CX144</f>
        <v>0</v>
      </c>
      <c r="M139" s="34">
        <f>AEP!CO144</f>
        <v>0</v>
      </c>
      <c r="N139" s="55" t="b">
        <f>IF(AND(L139=monitoramento!$C$4,M139=monitoramento!$D$4),monitoramento!$E$4,IF(AND(L139=monitoramento!$C$5,M139=monitoramento!$D$5),monitoramento!$E$5,IF(AND(L139=monitoramento!$C$6,M139=monitoramento!$D$6),monitoramento!$E$6,IF(AND(L139=monitoramento!$C$7,M139=monitoramento!$D$7),monitoramento!$E$7,IF(AND(L139=monitoramento!$C$8,M139=monitoramento!$D$8),monitoramento!$E$8,IF(AND(L139=monitoramento!$C$9,M139=monitoramento!$D$9),monitoramento!$E$9,IF(AND(L139=monitoramento!$C$10,M139=monitoramento!$D$10),monitoramento!$E$10,IF(AND(L139=monitoramento!$C$11,M139=monitoramento!$D$11),monitoramento!$E$11,IF(AND(L139=monitoramento!$C$12,M139=monitoramento!$D$12),monitoramento!$E$12,IF(AND(L139=monitoramento!$C$13,M139=monitoramento!$D$13),monitoramento!$E$13,IF(AND(L139=monitoramento!$C$14,M139=monitoramento!$D$14),monitoramento!$E$14,IF(AND(L139=monitoramento!$C$15,M139=monitoramento!$D$15),monitoramento!$E$15,IF(AND(L139=monitoramento!$C$16,M139=monitoramento!$D$16),monitoramento!$E$16,IF(AND(L139=monitoramento!$C$17,M139=monitoramento!$D$17),monitoramento!$E$17,IF(AND(L139=monitoramento!$C$18,M139=monitoramento!$D$18),monitoramento!$E$18,IF(AND(L139=monitoramento!$C$19,M139=monitoramento!$D$19),monitoramento!$E$19))))))))))))))))</f>
        <v>0</v>
      </c>
      <c r="O139" s="55"/>
      <c r="P139" s="55"/>
    </row>
    <row r="140" spans="8:16" ht="25.9" customHeight="1" thickBot="1" x14ac:dyDescent="0.25">
      <c r="H140" s="29">
        <f>AEP!BF145</f>
        <v>0</v>
      </c>
      <c r="I140" s="30">
        <f>AEP!BI145</f>
        <v>0</v>
      </c>
      <c r="J140" s="31">
        <f>AEP!BM145</f>
        <v>0</v>
      </c>
      <c r="K140" s="32" t="str">
        <f>IF(AND(I140=INCERTEZA!$B$3,J140=INCERTEZA!$C$3),INCERTEZA!$D$3,IF(AND(I140=INCERTEZA!$B$4,J140=INCERTEZA!$C$4),INCERTEZA!$D$4,IF(AND(I140=INCERTEZA!$B$5,J140=INCERTEZA!$C$5),INCERTEZA!$D$5,IF(AND(I140=INCERTEZA!$B$6,J140=INCERTEZA!$C$6),INCERTEZA!$D$6,IF(AND(I140=INCERTEZA!$B$7,J140=INCERTEZA!$C$7),INCERTEZA!$D$7,IF(AND(I140=INCERTEZA!$B$8,J140=INCERTEZA!$C$8),INCERTEZA!$D$8,IF(AND(I140=INCERTEZA!$B$9,J140=INCERTEZA!$C$9),INCERTEZA!$D$9,IF(AND(I140=INCERTEZA!$B$10,J140=INCERTEZA!$C$10),INCERTEZA!$D$10,IF(AND(I140=INCERTEZA!$B$11,J140=INCERTEZA!$C$11),INCERTEZA!$D$11,IF(AND(I140=INCERTEZA!$B$12,J140=INCERTEZA!$C$12),INCERTEZA!$D$12,IF(AND(I140=INCERTEZA!$B$13,J140=INCERTEZA!$C$13),INCERTEZA!$D$13,IF(AND(I140=INCERTEZA!$B$14,J140=INCERTEZA!$C$14),INCERTEZA!$D$14,IF(AND(I140=INCERTEZA!$B$15,J140=INCERTEZA!$C$15),INCERTEZA!$D$15,IF(AND(I140=INCERTEZA!$B$16,J140=INCERTEZA!$C$16),INCERTEZA!$D$16,IF(AND(I140=INCERTEZA!$B$17,J140=INCERTEZA!$C$17),INCERTEZA!$D$17,"-")))))))))))))))</f>
        <v>-</v>
      </c>
      <c r="L140" s="33">
        <f>AEP!CX145</f>
        <v>0</v>
      </c>
      <c r="M140" s="34">
        <f>AEP!CO145</f>
        <v>0</v>
      </c>
      <c r="N140" s="55" t="b">
        <f>IF(AND(L140=monitoramento!$C$4,M140=monitoramento!$D$4),monitoramento!$E$4,IF(AND(L140=monitoramento!$C$5,M140=monitoramento!$D$5),monitoramento!$E$5,IF(AND(L140=monitoramento!$C$6,M140=monitoramento!$D$6),monitoramento!$E$6,IF(AND(L140=monitoramento!$C$7,M140=monitoramento!$D$7),monitoramento!$E$7,IF(AND(L140=monitoramento!$C$8,M140=monitoramento!$D$8),monitoramento!$E$8,IF(AND(L140=monitoramento!$C$9,M140=monitoramento!$D$9),monitoramento!$E$9,IF(AND(L140=monitoramento!$C$10,M140=monitoramento!$D$10),monitoramento!$E$10,IF(AND(L140=monitoramento!$C$11,M140=monitoramento!$D$11),monitoramento!$E$11,IF(AND(L140=monitoramento!$C$12,M140=monitoramento!$D$12),monitoramento!$E$12,IF(AND(L140=monitoramento!$C$13,M140=monitoramento!$D$13),monitoramento!$E$13,IF(AND(L140=monitoramento!$C$14,M140=monitoramento!$D$14),monitoramento!$E$14,IF(AND(L140=monitoramento!$C$15,M140=monitoramento!$D$15),monitoramento!$E$15,IF(AND(L140=monitoramento!$C$16,M140=monitoramento!$D$16),monitoramento!$E$16,IF(AND(L140=monitoramento!$C$17,M140=monitoramento!$D$17),monitoramento!$E$17,IF(AND(L140=monitoramento!$C$18,M140=monitoramento!$D$18),monitoramento!$E$18,IF(AND(L140=monitoramento!$C$19,M140=monitoramento!$D$19),monitoramento!$E$19))))))))))))))))</f>
        <v>0</v>
      </c>
      <c r="O140" s="55"/>
      <c r="P140" s="55"/>
    </row>
    <row r="141" spans="8:16" ht="25.9" customHeight="1" thickBot="1" x14ac:dyDescent="0.25">
      <c r="H141" s="29">
        <f>AEP!BF146</f>
        <v>0</v>
      </c>
      <c r="I141" s="30">
        <f>AEP!BI146</f>
        <v>0</v>
      </c>
      <c r="J141" s="31">
        <f>AEP!BM146</f>
        <v>0</v>
      </c>
      <c r="K141" s="32" t="str">
        <f>IF(AND(I141=INCERTEZA!$B$3,J141=INCERTEZA!$C$3),INCERTEZA!$D$3,IF(AND(I141=INCERTEZA!$B$4,J141=INCERTEZA!$C$4),INCERTEZA!$D$4,IF(AND(I141=INCERTEZA!$B$5,J141=INCERTEZA!$C$5),INCERTEZA!$D$5,IF(AND(I141=INCERTEZA!$B$6,J141=INCERTEZA!$C$6),INCERTEZA!$D$6,IF(AND(I141=INCERTEZA!$B$7,J141=INCERTEZA!$C$7),INCERTEZA!$D$7,IF(AND(I141=INCERTEZA!$B$8,J141=INCERTEZA!$C$8),INCERTEZA!$D$8,IF(AND(I141=INCERTEZA!$B$9,J141=INCERTEZA!$C$9),INCERTEZA!$D$9,IF(AND(I141=INCERTEZA!$B$10,J141=INCERTEZA!$C$10),INCERTEZA!$D$10,IF(AND(I141=INCERTEZA!$B$11,J141=INCERTEZA!$C$11),INCERTEZA!$D$11,IF(AND(I141=INCERTEZA!$B$12,J141=INCERTEZA!$C$12),INCERTEZA!$D$12,IF(AND(I141=INCERTEZA!$B$13,J141=INCERTEZA!$C$13),INCERTEZA!$D$13,IF(AND(I141=INCERTEZA!$B$14,J141=INCERTEZA!$C$14),INCERTEZA!$D$14,IF(AND(I141=INCERTEZA!$B$15,J141=INCERTEZA!$C$15),INCERTEZA!$D$15,IF(AND(I141=INCERTEZA!$B$16,J141=INCERTEZA!$C$16),INCERTEZA!$D$16,IF(AND(I141=INCERTEZA!$B$17,J141=INCERTEZA!$C$17),INCERTEZA!$D$17,"-")))))))))))))))</f>
        <v>-</v>
      </c>
      <c r="L141" s="33">
        <f>AEP!CX146</f>
        <v>0</v>
      </c>
      <c r="M141" s="34">
        <f>AEP!CO146</f>
        <v>0</v>
      </c>
      <c r="N141" s="55" t="b">
        <f>IF(AND(L141=monitoramento!$C$4,M141=monitoramento!$D$4),monitoramento!$E$4,IF(AND(L141=monitoramento!$C$5,M141=monitoramento!$D$5),monitoramento!$E$5,IF(AND(L141=monitoramento!$C$6,M141=monitoramento!$D$6),monitoramento!$E$6,IF(AND(L141=monitoramento!$C$7,M141=monitoramento!$D$7),monitoramento!$E$7,IF(AND(L141=monitoramento!$C$8,M141=monitoramento!$D$8),monitoramento!$E$8,IF(AND(L141=monitoramento!$C$9,M141=monitoramento!$D$9),monitoramento!$E$9,IF(AND(L141=monitoramento!$C$10,M141=monitoramento!$D$10),monitoramento!$E$10,IF(AND(L141=monitoramento!$C$11,M141=monitoramento!$D$11),monitoramento!$E$11,IF(AND(L141=monitoramento!$C$12,M141=monitoramento!$D$12),monitoramento!$E$12,IF(AND(L141=monitoramento!$C$13,M141=monitoramento!$D$13),monitoramento!$E$13,IF(AND(L141=monitoramento!$C$14,M141=monitoramento!$D$14),monitoramento!$E$14,IF(AND(L141=monitoramento!$C$15,M141=monitoramento!$D$15),monitoramento!$E$15,IF(AND(L141=monitoramento!$C$16,M141=monitoramento!$D$16),monitoramento!$E$16,IF(AND(L141=monitoramento!$C$17,M141=monitoramento!$D$17),monitoramento!$E$17,IF(AND(L141=monitoramento!$C$18,M141=monitoramento!$D$18),monitoramento!$E$18,IF(AND(L141=monitoramento!$C$19,M141=monitoramento!$D$19),monitoramento!$E$19))))))))))))))))</f>
        <v>0</v>
      </c>
      <c r="O141" s="55"/>
      <c r="P141" s="55"/>
    </row>
    <row r="142" spans="8:16" ht="25.9" customHeight="1" thickBot="1" x14ac:dyDescent="0.25">
      <c r="H142" s="29">
        <f>AEP!BF147</f>
        <v>0</v>
      </c>
      <c r="I142" s="30">
        <f>AEP!BI147</f>
        <v>0</v>
      </c>
      <c r="J142" s="31">
        <f>AEP!BM147</f>
        <v>0</v>
      </c>
      <c r="K142" s="32" t="str">
        <f>IF(AND(I142=INCERTEZA!$B$3,J142=INCERTEZA!$C$3),INCERTEZA!$D$3,IF(AND(I142=INCERTEZA!$B$4,J142=INCERTEZA!$C$4),INCERTEZA!$D$4,IF(AND(I142=INCERTEZA!$B$5,J142=INCERTEZA!$C$5),INCERTEZA!$D$5,IF(AND(I142=INCERTEZA!$B$6,J142=INCERTEZA!$C$6),INCERTEZA!$D$6,IF(AND(I142=INCERTEZA!$B$7,J142=INCERTEZA!$C$7),INCERTEZA!$D$7,IF(AND(I142=INCERTEZA!$B$8,J142=INCERTEZA!$C$8),INCERTEZA!$D$8,IF(AND(I142=INCERTEZA!$B$9,J142=INCERTEZA!$C$9),INCERTEZA!$D$9,IF(AND(I142=INCERTEZA!$B$10,J142=INCERTEZA!$C$10),INCERTEZA!$D$10,IF(AND(I142=INCERTEZA!$B$11,J142=INCERTEZA!$C$11),INCERTEZA!$D$11,IF(AND(I142=INCERTEZA!$B$12,J142=INCERTEZA!$C$12),INCERTEZA!$D$12,IF(AND(I142=INCERTEZA!$B$13,J142=INCERTEZA!$C$13),INCERTEZA!$D$13,IF(AND(I142=INCERTEZA!$B$14,J142=INCERTEZA!$C$14),INCERTEZA!$D$14,IF(AND(I142=INCERTEZA!$B$15,J142=INCERTEZA!$C$15),INCERTEZA!$D$15,IF(AND(I142=INCERTEZA!$B$16,J142=INCERTEZA!$C$16),INCERTEZA!$D$16,IF(AND(I142=INCERTEZA!$B$17,J142=INCERTEZA!$C$17),INCERTEZA!$D$17,"-")))))))))))))))</f>
        <v>-</v>
      </c>
      <c r="L142" s="33">
        <f>AEP!CX147</f>
        <v>0</v>
      </c>
      <c r="M142" s="34">
        <f>AEP!CO147</f>
        <v>0</v>
      </c>
      <c r="N142" s="55" t="b">
        <f>IF(AND(L142=monitoramento!$C$4,M142=monitoramento!$D$4),monitoramento!$E$4,IF(AND(L142=monitoramento!$C$5,M142=monitoramento!$D$5),monitoramento!$E$5,IF(AND(L142=monitoramento!$C$6,M142=monitoramento!$D$6),monitoramento!$E$6,IF(AND(L142=monitoramento!$C$7,M142=monitoramento!$D$7),monitoramento!$E$7,IF(AND(L142=monitoramento!$C$8,M142=monitoramento!$D$8),monitoramento!$E$8,IF(AND(L142=monitoramento!$C$9,M142=monitoramento!$D$9),monitoramento!$E$9,IF(AND(L142=monitoramento!$C$10,M142=monitoramento!$D$10),monitoramento!$E$10,IF(AND(L142=monitoramento!$C$11,M142=monitoramento!$D$11),monitoramento!$E$11,IF(AND(L142=monitoramento!$C$12,M142=monitoramento!$D$12),monitoramento!$E$12,IF(AND(L142=monitoramento!$C$13,M142=monitoramento!$D$13),monitoramento!$E$13,IF(AND(L142=monitoramento!$C$14,M142=monitoramento!$D$14),monitoramento!$E$14,IF(AND(L142=monitoramento!$C$15,M142=monitoramento!$D$15),monitoramento!$E$15,IF(AND(L142=monitoramento!$C$16,M142=monitoramento!$D$16),monitoramento!$E$16,IF(AND(L142=monitoramento!$C$17,M142=monitoramento!$D$17),monitoramento!$E$17,IF(AND(L142=monitoramento!$C$18,M142=monitoramento!$D$18),monitoramento!$E$18,IF(AND(L142=monitoramento!$C$19,M142=monitoramento!$D$19),monitoramento!$E$19))))))))))))))))</f>
        <v>0</v>
      </c>
      <c r="O142" s="55"/>
      <c r="P142" s="55"/>
    </row>
    <row r="143" spans="8:16" ht="25.9" customHeight="1" thickBot="1" x14ac:dyDescent="0.25">
      <c r="H143" s="29">
        <f>AEP!BF148</f>
        <v>0</v>
      </c>
      <c r="I143" s="30">
        <f>AEP!BI148</f>
        <v>0</v>
      </c>
      <c r="J143" s="31">
        <f>AEP!BM148</f>
        <v>0</v>
      </c>
      <c r="K143" s="32" t="str">
        <f>IF(AND(I143=INCERTEZA!$B$3,J143=INCERTEZA!$C$3),INCERTEZA!$D$3,IF(AND(I143=INCERTEZA!$B$4,J143=INCERTEZA!$C$4),INCERTEZA!$D$4,IF(AND(I143=INCERTEZA!$B$5,J143=INCERTEZA!$C$5),INCERTEZA!$D$5,IF(AND(I143=INCERTEZA!$B$6,J143=INCERTEZA!$C$6),INCERTEZA!$D$6,IF(AND(I143=INCERTEZA!$B$7,J143=INCERTEZA!$C$7),INCERTEZA!$D$7,IF(AND(I143=INCERTEZA!$B$8,J143=INCERTEZA!$C$8),INCERTEZA!$D$8,IF(AND(I143=INCERTEZA!$B$9,J143=INCERTEZA!$C$9),INCERTEZA!$D$9,IF(AND(I143=INCERTEZA!$B$10,J143=INCERTEZA!$C$10),INCERTEZA!$D$10,IF(AND(I143=INCERTEZA!$B$11,J143=INCERTEZA!$C$11),INCERTEZA!$D$11,IF(AND(I143=INCERTEZA!$B$12,J143=INCERTEZA!$C$12),INCERTEZA!$D$12,IF(AND(I143=INCERTEZA!$B$13,J143=INCERTEZA!$C$13),INCERTEZA!$D$13,IF(AND(I143=INCERTEZA!$B$14,J143=INCERTEZA!$C$14),INCERTEZA!$D$14,IF(AND(I143=INCERTEZA!$B$15,J143=INCERTEZA!$C$15),INCERTEZA!$D$15,IF(AND(I143=INCERTEZA!$B$16,J143=INCERTEZA!$C$16),INCERTEZA!$D$16,IF(AND(I143=INCERTEZA!$B$17,J143=INCERTEZA!$C$17),INCERTEZA!$D$17,"-")))))))))))))))</f>
        <v>-</v>
      </c>
      <c r="L143" s="33">
        <f>AEP!CX148</f>
        <v>0</v>
      </c>
      <c r="M143" s="34">
        <f>AEP!CO148</f>
        <v>0</v>
      </c>
      <c r="N143" s="55" t="b">
        <f>IF(AND(L143=monitoramento!$C$4,M143=monitoramento!$D$4),monitoramento!$E$4,IF(AND(L143=monitoramento!$C$5,M143=monitoramento!$D$5),monitoramento!$E$5,IF(AND(L143=monitoramento!$C$6,M143=monitoramento!$D$6),monitoramento!$E$6,IF(AND(L143=monitoramento!$C$7,M143=monitoramento!$D$7),monitoramento!$E$7,IF(AND(L143=monitoramento!$C$8,M143=monitoramento!$D$8),monitoramento!$E$8,IF(AND(L143=monitoramento!$C$9,M143=monitoramento!$D$9),monitoramento!$E$9,IF(AND(L143=monitoramento!$C$10,M143=monitoramento!$D$10),monitoramento!$E$10,IF(AND(L143=monitoramento!$C$11,M143=monitoramento!$D$11),monitoramento!$E$11,IF(AND(L143=monitoramento!$C$12,M143=monitoramento!$D$12),monitoramento!$E$12,IF(AND(L143=monitoramento!$C$13,M143=monitoramento!$D$13),monitoramento!$E$13,IF(AND(L143=monitoramento!$C$14,M143=monitoramento!$D$14),monitoramento!$E$14,IF(AND(L143=monitoramento!$C$15,M143=monitoramento!$D$15),monitoramento!$E$15,IF(AND(L143=monitoramento!$C$16,M143=monitoramento!$D$16),monitoramento!$E$16,IF(AND(L143=monitoramento!$C$17,M143=monitoramento!$D$17),monitoramento!$E$17,IF(AND(L143=monitoramento!$C$18,M143=monitoramento!$D$18),monitoramento!$E$18,IF(AND(L143=monitoramento!$C$19,M143=monitoramento!$D$19),monitoramento!$E$19))))))))))))))))</f>
        <v>0</v>
      </c>
      <c r="O143" s="55"/>
      <c r="P143" s="55"/>
    </row>
    <row r="144" spans="8:16" ht="25.9" customHeight="1" thickBot="1" x14ac:dyDescent="0.25">
      <c r="H144" s="29">
        <f>AEP!BF149</f>
        <v>0</v>
      </c>
      <c r="I144" s="30">
        <f>AEP!BI149</f>
        <v>0</v>
      </c>
      <c r="J144" s="31">
        <f>AEP!BM149</f>
        <v>0</v>
      </c>
      <c r="K144" s="32" t="str">
        <f>IF(AND(I144=INCERTEZA!$B$3,J144=INCERTEZA!$C$3),INCERTEZA!$D$3,IF(AND(I144=INCERTEZA!$B$4,J144=INCERTEZA!$C$4),INCERTEZA!$D$4,IF(AND(I144=INCERTEZA!$B$5,J144=INCERTEZA!$C$5),INCERTEZA!$D$5,IF(AND(I144=INCERTEZA!$B$6,J144=INCERTEZA!$C$6),INCERTEZA!$D$6,IF(AND(I144=INCERTEZA!$B$7,J144=INCERTEZA!$C$7),INCERTEZA!$D$7,IF(AND(I144=INCERTEZA!$B$8,J144=INCERTEZA!$C$8),INCERTEZA!$D$8,IF(AND(I144=INCERTEZA!$B$9,J144=INCERTEZA!$C$9),INCERTEZA!$D$9,IF(AND(I144=INCERTEZA!$B$10,J144=INCERTEZA!$C$10),INCERTEZA!$D$10,IF(AND(I144=INCERTEZA!$B$11,J144=INCERTEZA!$C$11),INCERTEZA!$D$11,IF(AND(I144=INCERTEZA!$B$12,J144=INCERTEZA!$C$12),INCERTEZA!$D$12,IF(AND(I144=INCERTEZA!$B$13,J144=INCERTEZA!$C$13),INCERTEZA!$D$13,IF(AND(I144=INCERTEZA!$B$14,J144=INCERTEZA!$C$14),INCERTEZA!$D$14,IF(AND(I144=INCERTEZA!$B$15,J144=INCERTEZA!$C$15),INCERTEZA!$D$15,IF(AND(I144=INCERTEZA!$B$16,J144=INCERTEZA!$C$16),INCERTEZA!$D$16,IF(AND(I144=INCERTEZA!$B$17,J144=INCERTEZA!$C$17),INCERTEZA!$D$17,"-")))))))))))))))</f>
        <v>-</v>
      </c>
      <c r="L144" s="33">
        <f>AEP!CX149</f>
        <v>0</v>
      </c>
      <c r="M144" s="34">
        <f>AEP!CO149</f>
        <v>0</v>
      </c>
      <c r="N144" s="55" t="b">
        <f>IF(AND(L144=monitoramento!$C$4,M144=monitoramento!$D$4),monitoramento!$E$4,IF(AND(L144=monitoramento!$C$5,M144=monitoramento!$D$5),monitoramento!$E$5,IF(AND(L144=monitoramento!$C$6,M144=monitoramento!$D$6),monitoramento!$E$6,IF(AND(L144=monitoramento!$C$7,M144=monitoramento!$D$7),monitoramento!$E$7,IF(AND(L144=monitoramento!$C$8,M144=monitoramento!$D$8),monitoramento!$E$8,IF(AND(L144=monitoramento!$C$9,M144=monitoramento!$D$9),monitoramento!$E$9,IF(AND(L144=monitoramento!$C$10,M144=monitoramento!$D$10),monitoramento!$E$10,IF(AND(L144=monitoramento!$C$11,M144=monitoramento!$D$11),monitoramento!$E$11,IF(AND(L144=monitoramento!$C$12,M144=monitoramento!$D$12),monitoramento!$E$12,IF(AND(L144=monitoramento!$C$13,M144=monitoramento!$D$13),monitoramento!$E$13,IF(AND(L144=monitoramento!$C$14,M144=monitoramento!$D$14),monitoramento!$E$14,IF(AND(L144=monitoramento!$C$15,M144=monitoramento!$D$15),monitoramento!$E$15,IF(AND(L144=monitoramento!$C$16,M144=monitoramento!$D$16),monitoramento!$E$16,IF(AND(L144=monitoramento!$C$17,M144=monitoramento!$D$17),monitoramento!$E$17,IF(AND(L144=monitoramento!$C$18,M144=monitoramento!$D$18),monitoramento!$E$18,IF(AND(L144=monitoramento!$C$19,M144=monitoramento!$D$19),monitoramento!$E$19))))))))))))))))</f>
        <v>0</v>
      </c>
      <c r="O144" s="55"/>
      <c r="P144" s="55"/>
    </row>
    <row r="145" spans="8:16" ht="25.9" customHeight="1" thickBot="1" x14ac:dyDescent="0.25">
      <c r="H145" s="29">
        <f>AEP!BF150</f>
        <v>0</v>
      </c>
      <c r="I145" s="30">
        <f>AEP!BI150</f>
        <v>0</v>
      </c>
      <c r="J145" s="31">
        <f>AEP!BM150</f>
        <v>0</v>
      </c>
      <c r="K145" s="32" t="str">
        <f>IF(AND(I145=INCERTEZA!$B$3,J145=INCERTEZA!$C$3),INCERTEZA!$D$3,IF(AND(I145=INCERTEZA!$B$4,J145=INCERTEZA!$C$4),INCERTEZA!$D$4,IF(AND(I145=INCERTEZA!$B$5,J145=INCERTEZA!$C$5),INCERTEZA!$D$5,IF(AND(I145=INCERTEZA!$B$6,J145=INCERTEZA!$C$6),INCERTEZA!$D$6,IF(AND(I145=INCERTEZA!$B$7,J145=INCERTEZA!$C$7),INCERTEZA!$D$7,IF(AND(I145=INCERTEZA!$B$8,J145=INCERTEZA!$C$8),INCERTEZA!$D$8,IF(AND(I145=INCERTEZA!$B$9,J145=INCERTEZA!$C$9),INCERTEZA!$D$9,IF(AND(I145=INCERTEZA!$B$10,J145=INCERTEZA!$C$10),INCERTEZA!$D$10,IF(AND(I145=INCERTEZA!$B$11,J145=INCERTEZA!$C$11),INCERTEZA!$D$11,IF(AND(I145=INCERTEZA!$B$12,J145=INCERTEZA!$C$12),INCERTEZA!$D$12,IF(AND(I145=INCERTEZA!$B$13,J145=INCERTEZA!$C$13),INCERTEZA!$D$13,IF(AND(I145=INCERTEZA!$B$14,J145=INCERTEZA!$C$14),INCERTEZA!$D$14,IF(AND(I145=INCERTEZA!$B$15,J145=INCERTEZA!$C$15),INCERTEZA!$D$15,IF(AND(I145=INCERTEZA!$B$16,J145=INCERTEZA!$C$16),INCERTEZA!$D$16,IF(AND(I145=INCERTEZA!$B$17,J145=INCERTEZA!$C$17),INCERTEZA!$D$17,"-")))))))))))))))</f>
        <v>-</v>
      </c>
      <c r="L145" s="33">
        <f>AEP!CX150</f>
        <v>0</v>
      </c>
      <c r="M145" s="34">
        <f>AEP!CO150</f>
        <v>0</v>
      </c>
      <c r="N145" s="55" t="b">
        <f>IF(AND(L145=monitoramento!$C$4,M145=monitoramento!$D$4),monitoramento!$E$4,IF(AND(L145=monitoramento!$C$5,M145=monitoramento!$D$5),monitoramento!$E$5,IF(AND(L145=monitoramento!$C$6,M145=monitoramento!$D$6),monitoramento!$E$6,IF(AND(L145=monitoramento!$C$7,M145=monitoramento!$D$7),monitoramento!$E$7,IF(AND(L145=monitoramento!$C$8,M145=monitoramento!$D$8),monitoramento!$E$8,IF(AND(L145=monitoramento!$C$9,M145=monitoramento!$D$9),monitoramento!$E$9,IF(AND(L145=monitoramento!$C$10,M145=monitoramento!$D$10),monitoramento!$E$10,IF(AND(L145=monitoramento!$C$11,M145=monitoramento!$D$11),monitoramento!$E$11,IF(AND(L145=monitoramento!$C$12,M145=monitoramento!$D$12),monitoramento!$E$12,IF(AND(L145=monitoramento!$C$13,M145=monitoramento!$D$13),monitoramento!$E$13,IF(AND(L145=monitoramento!$C$14,M145=monitoramento!$D$14),monitoramento!$E$14,IF(AND(L145=monitoramento!$C$15,M145=monitoramento!$D$15),monitoramento!$E$15,IF(AND(L145=monitoramento!$C$16,M145=monitoramento!$D$16),monitoramento!$E$16,IF(AND(L145=monitoramento!$C$17,M145=monitoramento!$D$17),monitoramento!$E$17,IF(AND(L145=monitoramento!$C$18,M145=monitoramento!$D$18),monitoramento!$E$18,IF(AND(L145=monitoramento!$C$19,M145=monitoramento!$D$19),monitoramento!$E$19))))))))))))))))</f>
        <v>0</v>
      </c>
      <c r="O145" s="55"/>
      <c r="P145" s="55"/>
    </row>
    <row r="146" spans="8:16" ht="25.9" customHeight="1" thickBot="1" x14ac:dyDescent="0.25">
      <c r="H146" s="29">
        <f>AEP!BF151</f>
        <v>0</v>
      </c>
      <c r="I146" s="30">
        <f>AEP!BI151</f>
        <v>0</v>
      </c>
      <c r="J146" s="31">
        <f>AEP!BM151</f>
        <v>0</v>
      </c>
      <c r="K146" s="32" t="str">
        <f>IF(AND(I146=INCERTEZA!$B$3,J146=INCERTEZA!$C$3),INCERTEZA!$D$3,IF(AND(I146=INCERTEZA!$B$4,J146=INCERTEZA!$C$4),INCERTEZA!$D$4,IF(AND(I146=INCERTEZA!$B$5,J146=INCERTEZA!$C$5),INCERTEZA!$D$5,IF(AND(I146=INCERTEZA!$B$6,J146=INCERTEZA!$C$6),INCERTEZA!$D$6,IF(AND(I146=INCERTEZA!$B$7,J146=INCERTEZA!$C$7),INCERTEZA!$D$7,IF(AND(I146=INCERTEZA!$B$8,J146=INCERTEZA!$C$8),INCERTEZA!$D$8,IF(AND(I146=INCERTEZA!$B$9,J146=INCERTEZA!$C$9),INCERTEZA!$D$9,IF(AND(I146=INCERTEZA!$B$10,J146=INCERTEZA!$C$10),INCERTEZA!$D$10,IF(AND(I146=INCERTEZA!$B$11,J146=INCERTEZA!$C$11),INCERTEZA!$D$11,IF(AND(I146=INCERTEZA!$B$12,J146=INCERTEZA!$C$12),INCERTEZA!$D$12,IF(AND(I146=INCERTEZA!$B$13,J146=INCERTEZA!$C$13),INCERTEZA!$D$13,IF(AND(I146=INCERTEZA!$B$14,J146=INCERTEZA!$C$14),INCERTEZA!$D$14,IF(AND(I146=INCERTEZA!$B$15,J146=INCERTEZA!$C$15),INCERTEZA!$D$15,IF(AND(I146=INCERTEZA!$B$16,J146=INCERTEZA!$C$16),INCERTEZA!$D$16,IF(AND(I146=INCERTEZA!$B$17,J146=INCERTEZA!$C$17),INCERTEZA!$D$17,"-")))))))))))))))</f>
        <v>-</v>
      </c>
      <c r="L146" s="33">
        <f>AEP!CX151</f>
        <v>0</v>
      </c>
      <c r="M146" s="34">
        <f>AEP!CO151</f>
        <v>0</v>
      </c>
      <c r="N146" s="55" t="b">
        <f>IF(AND(L146=monitoramento!$C$4,M146=monitoramento!$D$4),monitoramento!$E$4,IF(AND(L146=monitoramento!$C$5,M146=monitoramento!$D$5),monitoramento!$E$5,IF(AND(L146=monitoramento!$C$6,M146=monitoramento!$D$6),monitoramento!$E$6,IF(AND(L146=monitoramento!$C$7,M146=monitoramento!$D$7),monitoramento!$E$7,IF(AND(L146=monitoramento!$C$8,M146=monitoramento!$D$8),monitoramento!$E$8,IF(AND(L146=monitoramento!$C$9,M146=monitoramento!$D$9),monitoramento!$E$9,IF(AND(L146=monitoramento!$C$10,M146=monitoramento!$D$10),monitoramento!$E$10,IF(AND(L146=monitoramento!$C$11,M146=monitoramento!$D$11),monitoramento!$E$11,IF(AND(L146=monitoramento!$C$12,M146=monitoramento!$D$12),monitoramento!$E$12,IF(AND(L146=monitoramento!$C$13,M146=monitoramento!$D$13),monitoramento!$E$13,IF(AND(L146=monitoramento!$C$14,M146=monitoramento!$D$14),monitoramento!$E$14,IF(AND(L146=monitoramento!$C$15,M146=monitoramento!$D$15),monitoramento!$E$15,IF(AND(L146=monitoramento!$C$16,M146=monitoramento!$D$16),monitoramento!$E$16,IF(AND(L146=monitoramento!$C$17,M146=monitoramento!$D$17),monitoramento!$E$17,IF(AND(L146=monitoramento!$C$18,M146=monitoramento!$D$18),monitoramento!$E$18,IF(AND(L146=monitoramento!$C$19,M146=monitoramento!$D$19),monitoramento!$E$19))))))))))))))))</f>
        <v>0</v>
      </c>
      <c r="O146" s="55"/>
      <c r="P146" s="55"/>
    </row>
    <row r="147" spans="8:16" ht="25.9" customHeight="1" thickBot="1" x14ac:dyDescent="0.25">
      <c r="H147" s="29">
        <f>AEP!BF152</f>
        <v>0</v>
      </c>
      <c r="I147" s="30">
        <f>AEP!BI152</f>
        <v>0</v>
      </c>
      <c r="J147" s="31">
        <f>AEP!BM152</f>
        <v>0</v>
      </c>
      <c r="K147" s="32" t="str">
        <f>IF(AND(I147=INCERTEZA!$B$3,J147=INCERTEZA!$C$3),INCERTEZA!$D$3,IF(AND(I147=INCERTEZA!$B$4,J147=INCERTEZA!$C$4),INCERTEZA!$D$4,IF(AND(I147=INCERTEZA!$B$5,J147=INCERTEZA!$C$5),INCERTEZA!$D$5,IF(AND(I147=INCERTEZA!$B$6,J147=INCERTEZA!$C$6),INCERTEZA!$D$6,IF(AND(I147=INCERTEZA!$B$7,J147=INCERTEZA!$C$7),INCERTEZA!$D$7,IF(AND(I147=INCERTEZA!$B$8,J147=INCERTEZA!$C$8),INCERTEZA!$D$8,IF(AND(I147=INCERTEZA!$B$9,J147=INCERTEZA!$C$9),INCERTEZA!$D$9,IF(AND(I147=INCERTEZA!$B$10,J147=INCERTEZA!$C$10),INCERTEZA!$D$10,IF(AND(I147=INCERTEZA!$B$11,J147=INCERTEZA!$C$11),INCERTEZA!$D$11,IF(AND(I147=INCERTEZA!$B$12,J147=INCERTEZA!$C$12),INCERTEZA!$D$12,IF(AND(I147=INCERTEZA!$B$13,J147=INCERTEZA!$C$13),INCERTEZA!$D$13,IF(AND(I147=INCERTEZA!$B$14,J147=INCERTEZA!$C$14),INCERTEZA!$D$14,IF(AND(I147=INCERTEZA!$B$15,J147=INCERTEZA!$C$15),INCERTEZA!$D$15,IF(AND(I147=INCERTEZA!$B$16,J147=INCERTEZA!$C$16),INCERTEZA!$D$16,IF(AND(I147=INCERTEZA!$B$17,J147=INCERTEZA!$C$17),INCERTEZA!$D$17,"-")))))))))))))))</f>
        <v>-</v>
      </c>
      <c r="L147" s="33">
        <f>AEP!CX152</f>
        <v>0</v>
      </c>
      <c r="M147" s="34">
        <f>AEP!CO152</f>
        <v>0</v>
      </c>
      <c r="N147" s="55" t="b">
        <f>IF(AND(L147=monitoramento!$C$4,M147=monitoramento!$D$4),monitoramento!$E$4,IF(AND(L147=monitoramento!$C$5,M147=monitoramento!$D$5),monitoramento!$E$5,IF(AND(L147=monitoramento!$C$6,M147=monitoramento!$D$6),monitoramento!$E$6,IF(AND(L147=monitoramento!$C$7,M147=monitoramento!$D$7),monitoramento!$E$7,IF(AND(L147=monitoramento!$C$8,M147=monitoramento!$D$8),monitoramento!$E$8,IF(AND(L147=monitoramento!$C$9,M147=monitoramento!$D$9),monitoramento!$E$9,IF(AND(L147=monitoramento!$C$10,M147=monitoramento!$D$10),monitoramento!$E$10,IF(AND(L147=monitoramento!$C$11,M147=monitoramento!$D$11),monitoramento!$E$11,IF(AND(L147=monitoramento!$C$12,M147=monitoramento!$D$12),monitoramento!$E$12,IF(AND(L147=monitoramento!$C$13,M147=monitoramento!$D$13),monitoramento!$E$13,IF(AND(L147=monitoramento!$C$14,M147=monitoramento!$D$14),monitoramento!$E$14,IF(AND(L147=monitoramento!$C$15,M147=monitoramento!$D$15),monitoramento!$E$15,IF(AND(L147=monitoramento!$C$16,M147=monitoramento!$D$16),monitoramento!$E$16,IF(AND(L147=monitoramento!$C$17,M147=monitoramento!$D$17),monitoramento!$E$17,IF(AND(L147=monitoramento!$C$18,M147=monitoramento!$D$18),monitoramento!$E$18,IF(AND(L147=monitoramento!$C$19,M147=monitoramento!$D$19),monitoramento!$E$19))))))))))))))))</f>
        <v>0</v>
      </c>
      <c r="O147" s="55"/>
      <c r="P147" s="55"/>
    </row>
    <row r="148" spans="8:16" ht="25.9" customHeight="1" thickBot="1" x14ac:dyDescent="0.25">
      <c r="H148" s="29">
        <f>AEP!BF153</f>
        <v>0</v>
      </c>
      <c r="I148" s="30">
        <f>AEP!BI153</f>
        <v>0</v>
      </c>
      <c r="J148" s="31">
        <f>AEP!BM153</f>
        <v>0</v>
      </c>
      <c r="K148" s="32" t="str">
        <f>IF(AND(I148=INCERTEZA!$B$3,J148=INCERTEZA!$C$3),INCERTEZA!$D$3,IF(AND(I148=INCERTEZA!$B$4,J148=INCERTEZA!$C$4),INCERTEZA!$D$4,IF(AND(I148=INCERTEZA!$B$5,J148=INCERTEZA!$C$5),INCERTEZA!$D$5,IF(AND(I148=INCERTEZA!$B$6,J148=INCERTEZA!$C$6),INCERTEZA!$D$6,IF(AND(I148=INCERTEZA!$B$7,J148=INCERTEZA!$C$7),INCERTEZA!$D$7,IF(AND(I148=INCERTEZA!$B$8,J148=INCERTEZA!$C$8),INCERTEZA!$D$8,IF(AND(I148=INCERTEZA!$B$9,J148=INCERTEZA!$C$9),INCERTEZA!$D$9,IF(AND(I148=INCERTEZA!$B$10,J148=INCERTEZA!$C$10),INCERTEZA!$D$10,IF(AND(I148=INCERTEZA!$B$11,J148=INCERTEZA!$C$11),INCERTEZA!$D$11,IF(AND(I148=INCERTEZA!$B$12,J148=INCERTEZA!$C$12),INCERTEZA!$D$12,IF(AND(I148=INCERTEZA!$B$13,J148=INCERTEZA!$C$13),INCERTEZA!$D$13,IF(AND(I148=INCERTEZA!$B$14,J148=INCERTEZA!$C$14),INCERTEZA!$D$14,IF(AND(I148=INCERTEZA!$B$15,J148=INCERTEZA!$C$15),INCERTEZA!$D$15,IF(AND(I148=INCERTEZA!$B$16,J148=INCERTEZA!$C$16),INCERTEZA!$D$16,IF(AND(I148=INCERTEZA!$B$17,J148=INCERTEZA!$C$17),INCERTEZA!$D$17,"-")))))))))))))))</f>
        <v>-</v>
      </c>
      <c r="L148" s="33">
        <f>AEP!CX153</f>
        <v>0</v>
      </c>
      <c r="M148" s="34">
        <f>AEP!CO153</f>
        <v>0</v>
      </c>
      <c r="N148" s="55" t="b">
        <f>IF(AND(L148=monitoramento!$C$4,M148=monitoramento!$D$4),monitoramento!$E$4,IF(AND(L148=monitoramento!$C$5,M148=monitoramento!$D$5),monitoramento!$E$5,IF(AND(L148=monitoramento!$C$6,M148=monitoramento!$D$6),monitoramento!$E$6,IF(AND(L148=monitoramento!$C$7,M148=monitoramento!$D$7),monitoramento!$E$7,IF(AND(L148=monitoramento!$C$8,M148=monitoramento!$D$8),monitoramento!$E$8,IF(AND(L148=monitoramento!$C$9,M148=monitoramento!$D$9),monitoramento!$E$9,IF(AND(L148=monitoramento!$C$10,M148=monitoramento!$D$10),monitoramento!$E$10,IF(AND(L148=monitoramento!$C$11,M148=monitoramento!$D$11),monitoramento!$E$11,IF(AND(L148=monitoramento!$C$12,M148=monitoramento!$D$12),monitoramento!$E$12,IF(AND(L148=monitoramento!$C$13,M148=monitoramento!$D$13),monitoramento!$E$13,IF(AND(L148=monitoramento!$C$14,M148=monitoramento!$D$14),monitoramento!$E$14,IF(AND(L148=monitoramento!$C$15,M148=monitoramento!$D$15),monitoramento!$E$15,IF(AND(L148=monitoramento!$C$16,M148=monitoramento!$D$16),monitoramento!$E$16,IF(AND(L148=monitoramento!$C$17,M148=monitoramento!$D$17),monitoramento!$E$17,IF(AND(L148=monitoramento!$C$18,M148=monitoramento!$D$18),monitoramento!$E$18,IF(AND(L148=monitoramento!$C$19,M148=monitoramento!$D$19),monitoramento!$E$19))))))))))))))))</f>
        <v>0</v>
      </c>
      <c r="O148" s="55"/>
      <c r="P148" s="55"/>
    </row>
    <row r="149" spans="8:16" ht="25.9" customHeight="1" thickBot="1" x14ac:dyDescent="0.25">
      <c r="H149" s="29">
        <f>AEP!BF154</f>
        <v>0</v>
      </c>
      <c r="I149" s="30">
        <f>AEP!BI154</f>
        <v>0</v>
      </c>
      <c r="J149" s="31">
        <f>AEP!BM154</f>
        <v>0</v>
      </c>
      <c r="K149" s="32" t="str">
        <f>IF(AND(I149=INCERTEZA!$B$3,J149=INCERTEZA!$C$3),INCERTEZA!$D$3,IF(AND(I149=INCERTEZA!$B$4,J149=INCERTEZA!$C$4),INCERTEZA!$D$4,IF(AND(I149=INCERTEZA!$B$5,J149=INCERTEZA!$C$5),INCERTEZA!$D$5,IF(AND(I149=INCERTEZA!$B$6,J149=INCERTEZA!$C$6),INCERTEZA!$D$6,IF(AND(I149=INCERTEZA!$B$7,J149=INCERTEZA!$C$7),INCERTEZA!$D$7,IF(AND(I149=INCERTEZA!$B$8,J149=INCERTEZA!$C$8),INCERTEZA!$D$8,IF(AND(I149=INCERTEZA!$B$9,J149=INCERTEZA!$C$9),INCERTEZA!$D$9,IF(AND(I149=INCERTEZA!$B$10,J149=INCERTEZA!$C$10),INCERTEZA!$D$10,IF(AND(I149=INCERTEZA!$B$11,J149=INCERTEZA!$C$11),INCERTEZA!$D$11,IF(AND(I149=INCERTEZA!$B$12,J149=INCERTEZA!$C$12),INCERTEZA!$D$12,IF(AND(I149=INCERTEZA!$B$13,J149=INCERTEZA!$C$13),INCERTEZA!$D$13,IF(AND(I149=INCERTEZA!$B$14,J149=INCERTEZA!$C$14),INCERTEZA!$D$14,IF(AND(I149=INCERTEZA!$B$15,J149=INCERTEZA!$C$15),INCERTEZA!$D$15,IF(AND(I149=INCERTEZA!$B$16,J149=INCERTEZA!$C$16),INCERTEZA!$D$16,IF(AND(I149=INCERTEZA!$B$17,J149=INCERTEZA!$C$17),INCERTEZA!$D$17,"-")))))))))))))))</f>
        <v>-</v>
      </c>
      <c r="L149" s="33">
        <f>AEP!CX154</f>
        <v>0</v>
      </c>
      <c r="M149" s="34">
        <f>AEP!CO154</f>
        <v>0</v>
      </c>
      <c r="N149" s="55" t="b">
        <f>IF(AND(L149=monitoramento!$C$4,M149=monitoramento!$D$4),monitoramento!$E$4,IF(AND(L149=monitoramento!$C$5,M149=monitoramento!$D$5),monitoramento!$E$5,IF(AND(L149=monitoramento!$C$6,M149=monitoramento!$D$6),monitoramento!$E$6,IF(AND(L149=monitoramento!$C$7,M149=monitoramento!$D$7),monitoramento!$E$7,IF(AND(L149=monitoramento!$C$8,M149=monitoramento!$D$8),monitoramento!$E$8,IF(AND(L149=monitoramento!$C$9,M149=monitoramento!$D$9),monitoramento!$E$9,IF(AND(L149=monitoramento!$C$10,M149=monitoramento!$D$10),monitoramento!$E$10,IF(AND(L149=monitoramento!$C$11,M149=monitoramento!$D$11),monitoramento!$E$11,IF(AND(L149=monitoramento!$C$12,M149=monitoramento!$D$12),monitoramento!$E$12,IF(AND(L149=monitoramento!$C$13,M149=monitoramento!$D$13),monitoramento!$E$13,IF(AND(L149=monitoramento!$C$14,M149=monitoramento!$D$14),monitoramento!$E$14,IF(AND(L149=monitoramento!$C$15,M149=monitoramento!$D$15),monitoramento!$E$15,IF(AND(L149=monitoramento!$C$16,M149=monitoramento!$D$16),monitoramento!$E$16,IF(AND(L149=monitoramento!$C$17,M149=monitoramento!$D$17),monitoramento!$E$17,IF(AND(L149=monitoramento!$C$18,M149=monitoramento!$D$18),monitoramento!$E$18,IF(AND(L149=monitoramento!$C$19,M149=monitoramento!$D$19),monitoramento!$E$19))))))))))))))))</f>
        <v>0</v>
      </c>
      <c r="O149" s="55"/>
      <c r="P149" s="55"/>
    </row>
    <row r="150" spans="8:16" ht="25.9" customHeight="1" thickBot="1" x14ac:dyDescent="0.25">
      <c r="H150" s="29">
        <f>AEP!BF155</f>
        <v>0</v>
      </c>
      <c r="I150" s="30">
        <f>AEP!BI155</f>
        <v>0</v>
      </c>
      <c r="J150" s="31">
        <f>AEP!BM155</f>
        <v>0</v>
      </c>
      <c r="K150" s="32" t="str">
        <f>IF(AND(I150=INCERTEZA!$B$3,J150=INCERTEZA!$C$3),INCERTEZA!$D$3,IF(AND(I150=INCERTEZA!$B$4,J150=INCERTEZA!$C$4),INCERTEZA!$D$4,IF(AND(I150=INCERTEZA!$B$5,J150=INCERTEZA!$C$5),INCERTEZA!$D$5,IF(AND(I150=INCERTEZA!$B$6,J150=INCERTEZA!$C$6),INCERTEZA!$D$6,IF(AND(I150=INCERTEZA!$B$7,J150=INCERTEZA!$C$7),INCERTEZA!$D$7,IF(AND(I150=INCERTEZA!$B$8,J150=INCERTEZA!$C$8),INCERTEZA!$D$8,IF(AND(I150=INCERTEZA!$B$9,J150=INCERTEZA!$C$9),INCERTEZA!$D$9,IF(AND(I150=INCERTEZA!$B$10,J150=INCERTEZA!$C$10),INCERTEZA!$D$10,IF(AND(I150=INCERTEZA!$B$11,J150=INCERTEZA!$C$11),INCERTEZA!$D$11,IF(AND(I150=INCERTEZA!$B$12,J150=INCERTEZA!$C$12),INCERTEZA!$D$12,IF(AND(I150=INCERTEZA!$B$13,J150=INCERTEZA!$C$13),INCERTEZA!$D$13,IF(AND(I150=INCERTEZA!$B$14,J150=INCERTEZA!$C$14),INCERTEZA!$D$14,IF(AND(I150=INCERTEZA!$B$15,J150=INCERTEZA!$C$15),INCERTEZA!$D$15,IF(AND(I150=INCERTEZA!$B$16,J150=INCERTEZA!$C$16),INCERTEZA!$D$16,IF(AND(I150=INCERTEZA!$B$17,J150=INCERTEZA!$C$17),INCERTEZA!$D$17,"-")))))))))))))))</f>
        <v>-</v>
      </c>
      <c r="L150" s="33">
        <f>AEP!CX155</f>
        <v>0</v>
      </c>
      <c r="M150" s="34">
        <f>AEP!CO155</f>
        <v>0</v>
      </c>
      <c r="N150" s="55" t="b">
        <f>IF(AND(L150=monitoramento!$C$4,M150=monitoramento!$D$4),monitoramento!$E$4,IF(AND(L150=monitoramento!$C$5,M150=monitoramento!$D$5),monitoramento!$E$5,IF(AND(L150=monitoramento!$C$6,M150=monitoramento!$D$6),monitoramento!$E$6,IF(AND(L150=monitoramento!$C$7,M150=monitoramento!$D$7),monitoramento!$E$7,IF(AND(L150=monitoramento!$C$8,M150=monitoramento!$D$8),monitoramento!$E$8,IF(AND(L150=monitoramento!$C$9,M150=monitoramento!$D$9),monitoramento!$E$9,IF(AND(L150=monitoramento!$C$10,M150=monitoramento!$D$10),monitoramento!$E$10,IF(AND(L150=monitoramento!$C$11,M150=monitoramento!$D$11),monitoramento!$E$11,IF(AND(L150=monitoramento!$C$12,M150=monitoramento!$D$12),monitoramento!$E$12,IF(AND(L150=monitoramento!$C$13,M150=monitoramento!$D$13),monitoramento!$E$13,IF(AND(L150=monitoramento!$C$14,M150=monitoramento!$D$14),monitoramento!$E$14,IF(AND(L150=monitoramento!$C$15,M150=monitoramento!$D$15),monitoramento!$E$15,IF(AND(L150=monitoramento!$C$16,M150=monitoramento!$D$16),monitoramento!$E$16,IF(AND(L150=monitoramento!$C$17,M150=monitoramento!$D$17),monitoramento!$E$17,IF(AND(L150=monitoramento!$C$18,M150=monitoramento!$D$18),monitoramento!$E$18,IF(AND(L150=monitoramento!$C$19,M150=monitoramento!$D$19),monitoramento!$E$19))))))))))))))))</f>
        <v>0</v>
      </c>
      <c r="O150" s="55"/>
      <c r="P150" s="55"/>
    </row>
    <row r="151" spans="8:16" ht="25.9" customHeight="1" thickBot="1" x14ac:dyDescent="0.25">
      <c r="H151" s="29">
        <f>AEP!BF156</f>
        <v>0</v>
      </c>
      <c r="I151" s="30">
        <f>AEP!BI156</f>
        <v>0</v>
      </c>
      <c r="J151" s="31">
        <f>AEP!BM156</f>
        <v>0</v>
      </c>
      <c r="K151" s="32" t="str">
        <f>IF(AND(I151=INCERTEZA!$B$3,J151=INCERTEZA!$C$3),INCERTEZA!$D$3,IF(AND(I151=INCERTEZA!$B$4,J151=INCERTEZA!$C$4),INCERTEZA!$D$4,IF(AND(I151=INCERTEZA!$B$5,J151=INCERTEZA!$C$5),INCERTEZA!$D$5,IF(AND(I151=INCERTEZA!$B$6,J151=INCERTEZA!$C$6),INCERTEZA!$D$6,IF(AND(I151=INCERTEZA!$B$7,J151=INCERTEZA!$C$7),INCERTEZA!$D$7,IF(AND(I151=INCERTEZA!$B$8,J151=INCERTEZA!$C$8),INCERTEZA!$D$8,IF(AND(I151=INCERTEZA!$B$9,J151=INCERTEZA!$C$9),INCERTEZA!$D$9,IF(AND(I151=INCERTEZA!$B$10,J151=INCERTEZA!$C$10),INCERTEZA!$D$10,IF(AND(I151=INCERTEZA!$B$11,J151=INCERTEZA!$C$11),INCERTEZA!$D$11,IF(AND(I151=INCERTEZA!$B$12,J151=INCERTEZA!$C$12),INCERTEZA!$D$12,IF(AND(I151=INCERTEZA!$B$13,J151=INCERTEZA!$C$13),INCERTEZA!$D$13,IF(AND(I151=INCERTEZA!$B$14,J151=INCERTEZA!$C$14),INCERTEZA!$D$14,IF(AND(I151=INCERTEZA!$B$15,J151=INCERTEZA!$C$15),INCERTEZA!$D$15,IF(AND(I151=INCERTEZA!$B$16,J151=INCERTEZA!$C$16),INCERTEZA!$D$16,IF(AND(I151=INCERTEZA!$B$17,J151=INCERTEZA!$C$17),INCERTEZA!$D$17,"-")))))))))))))))</f>
        <v>-</v>
      </c>
      <c r="L151" s="33">
        <f>AEP!CX156</f>
        <v>0</v>
      </c>
      <c r="M151" s="34">
        <f>AEP!CO156</f>
        <v>0</v>
      </c>
      <c r="N151" s="55" t="b">
        <f>IF(AND(L151=monitoramento!$C$4,M151=monitoramento!$D$4),monitoramento!$E$4,IF(AND(L151=monitoramento!$C$5,M151=monitoramento!$D$5),monitoramento!$E$5,IF(AND(L151=monitoramento!$C$6,M151=monitoramento!$D$6),monitoramento!$E$6,IF(AND(L151=monitoramento!$C$7,M151=monitoramento!$D$7),monitoramento!$E$7,IF(AND(L151=monitoramento!$C$8,M151=monitoramento!$D$8),monitoramento!$E$8,IF(AND(L151=monitoramento!$C$9,M151=monitoramento!$D$9),monitoramento!$E$9,IF(AND(L151=monitoramento!$C$10,M151=monitoramento!$D$10),monitoramento!$E$10,IF(AND(L151=monitoramento!$C$11,M151=monitoramento!$D$11),monitoramento!$E$11,IF(AND(L151=monitoramento!$C$12,M151=monitoramento!$D$12),monitoramento!$E$12,IF(AND(L151=monitoramento!$C$13,M151=monitoramento!$D$13),monitoramento!$E$13,IF(AND(L151=monitoramento!$C$14,M151=monitoramento!$D$14),monitoramento!$E$14,IF(AND(L151=monitoramento!$C$15,M151=monitoramento!$D$15),monitoramento!$E$15,IF(AND(L151=monitoramento!$C$16,M151=monitoramento!$D$16),monitoramento!$E$16,IF(AND(L151=monitoramento!$C$17,M151=monitoramento!$D$17),monitoramento!$E$17,IF(AND(L151=monitoramento!$C$18,M151=monitoramento!$D$18),monitoramento!$E$18,IF(AND(L151=monitoramento!$C$19,M151=monitoramento!$D$19),monitoramento!$E$19))))))))))))))))</f>
        <v>0</v>
      </c>
      <c r="O151" s="55"/>
      <c r="P151" s="55"/>
    </row>
    <row r="152" spans="8:16" ht="25.9" customHeight="1" thickBot="1" x14ac:dyDescent="0.25">
      <c r="H152" s="29">
        <f>AEP!BF157</f>
        <v>0</v>
      </c>
      <c r="I152" s="30">
        <f>AEP!BI157</f>
        <v>0</v>
      </c>
      <c r="J152" s="31">
        <f>AEP!BM157</f>
        <v>0</v>
      </c>
      <c r="K152" s="32" t="str">
        <f>IF(AND(I152=INCERTEZA!$B$3,J152=INCERTEZA!$C$3),INCERTEZA!$D$3,IF(AND(I152=INCERTEZA!$B$4,J152=INCERTEZA!$C$4),INCERTEZA!$D$4,IF(AND(I152=INCERTEZA!$B$5,J152=INCERTEZA!$C$5),INCERTEZA!$D$5,IF(AND(I152=INCERTEZA!$B$6,J152=INCERTEZA!$C$6),INCERTEZA!$D$6,IF(AND(I152=INCERTEZA!$B$7,J152=INCERTEZA!$C$7),INCERTEZA!$D$7,IF(AND(I152=INCERTEZA!$B$8,J152=INCERTEZA!$C$8),INCERTEZA!$D$8,IF(AND(I152=INCERTEZA!$B$9,J152=INCERTEZA!$C$9),INCERTEZA!$D$9,IF(AND(I152=INCERTEZA!$B$10,J152=INCERTEZA!$C$10),INCERTEZA!$D$10,IF(AND(I152=INCERTEZA!$B$11,J152=INCERTEZA!$C$11),INCERTEZA!$D$11,IF(AND(I152=INCERTEZA!$B$12,J152=INCERTEZA!$C$12),INCERTEZA!$D$12,IF(AND(I152=INCERTEZA!$B$13,J152=INCERTEZA!$C$13),INCERTEZA!$D$13,IF(AND(I152=INCERTEZA!$B$14,J152=INCERTEZA!$C$14),INCERTEZA!$D$14,IF(AND(I152=INCERTEZA!$B$15,J152=INCERTEZA!$C$15),INCERTEZA!$D$15,IF(AND(I152=INCERTEZA!$B$16,J152=INCERTEZA!$C$16),INCERTEZA!$D$16,IF(AND(I152=INCERTEZA!$B$17,J152=INCERTEZA!$C$17),INCERTEZA!$D$17,"-")))))))))))))))</f>
        <v>-</v>
      </c>
      <c r="L152" s="33">
        <f>AEP!CX157</f>
        <v>0</v>
      </c>
      <c r="M152" s="34">
        <f>AEP!CO157</f>
        <v>0</v>
      </c>
      <c r="N152" s="55" t="b">
        <f>IF(AND(L152=monitoramento!$C$4,M152=monitoramento!$D$4),monitoramento!$E$4,IF(AND(L152=monitoramento!$C$5,M152=monitoramento!$D$5),monitoramento!$E$5,IF(AND(L152=monitoramento!$C$6,M152=monitoramento!$D$6),monitoramento!$E$6,IF(AND(L152=monitoramento!$C$7,M152=monitoramento!$D$7),monitoramento!$E$7,IF(AND(L152=monitoramento!$C$8,M152=monitoramento!$D$8),monitoramento!$E$8,IF(AND(L152=monitoramento!$C$9,M152=monitoramento!$D$9),monitoramento!$E$9,IF(AND(L152=monitoramento!$C$10,M152=monitoramento!$D$10),monitoramento!$E$10,IF(AND(L152=monitoramento!$C$11,M152=monitoramento!$D$11),monitoramento!$E$11,IF(AND(L152=monitoramento!$C$12,M152=monitoramento!$D$12),monitoramento!$E$12,IF(AND(L152=monitoramento!$C$13,M152=monitoramento!$D$13),monitoramento!$E$13,IF(AND(L152=monitoramento!$C$14,M152=monitoramento!$D$14),monitoramento!$E$14,IF(AND(L152=monitoramento!$C$15,M152=monitoramento!$D$15),monitoramento!$E$15,IF(AND(L152=monitoramento!$C$16,M152=monitoramento!$D$16),monitoramento!$E$16,IF(AND(L152=monitoramento!$C$17,M152=monitoramento!$D$17),monitoramento!$E$17,IF(AND(L152=monitoramento!$C$18,M152=monitoramento!$D$18),monitoramento!$E$18,IF(AND(L152=monitoramento!$C$19,M152=monitoramento!$D$19),monitoramento!$E$19))))))))))))))))</f>
        <v>0</v>
      </c>
      <c r="O152" s="55"/>
      <c r="P152" s="55"/>
    </row>
    <row r="153" spans="8:16" ht="25.9" customHeight="1" thickBot="1" x14ac:dyDescent="0.25">
      <c r="H153" s="29">
        <f>AEP!BF158</f>
        <v>0</v>
      </c>
      <c r="I153" s="30">
        <f>AEP!BI158</f>
        <v>0</v>
      </c>
      <c r="J153" s="31">
        <f>AEP!BM158</f>
        <v>0</v>
      </c>
      <c r="K153" s="32" t="str">
        <f>IF(AND(I153=INCERTEZA!$B$3,J153=INCERTEZA!$C$3),INCERTEZA!$D$3,IF(AND(I153=INCERTEZA!$B$4,J153=INCERTEZA!$C$4),INCERTEZA!$D$4,IF(AND(I153=INCERTEZA!$B$5,J153=INCERTEZA!$C$5),INCERTEZA!$D$5,IF(AND(I153=INCERTEZA!$B$6,J153=INCERTEZA!$C$6),INCERTEZA!$D$6,IF(AND(I153=INCERTEZA!$B$7,J153=INCERTEZA!$C$7),INCERTEZA!$D$7,IF(AND(I153=INCERTEZA!$B$8,J153=INCERTEZA!$C$8),INCERTEZA!$D$8,IF(AND(I153=INCERTEZA!$B$9,J153=INCERTEZA!$C$9),INCERTEZA!$D$9,IF(AND(I153=INCERTEZA!$B$10,J153=INCERTEZA!$C$10),INCERTEZA!$D$10,IF(AND(I153=INCERTEZA!$B$11,J153=INCERTEZA!$C$11),INCERTEZA!$D$11,IF(AND(I153=INCERTEZA!$B$12,J153=INCERTEZA!$C$12),INCERTEZA!$D$12,IF(AND(I153=INCERTEZA!$B$13,J153=INCERTEZA!$C$13),INCERTEZA!$D$13,IF(AND(I153=INCERTEZA!$B$14,J153=INCERTEZA!$C$14),INCERTEZA!$D$14,IF(AND(I153=INCERTEZA!$B$15,J153=INCERTEZA!$C$15),INCERTEZA!$D$15,IF(AND(I153=INCERTEZA!$B$16,J153=INCERTEZA!$C$16),INCERTEZA!$D$16,IF(AND(I153=INCERTEZA!$B$17,J153=INCERTEZA!$C$17),INCERTEZA!$D$17,"-")))))))))))))))</f>
        <v>-</v>
      </c>
      <c r="L153" s="33">
        <f>AEP!CX158</f>
        <v>0</v>
      </c>
      <c r="M153" s="34">
        <f>AEP!CO158</f>
        <v>0</v>
      </c>
      <c r="N153" s="55" t="b">
        <f>IF(AND(L153=monitoramento!$C$4,M153=monitoramento!$D$4),monitoramento!$E$4,IF(AND(L153=monitoramento!$C$5,M153=monitoramento!$D$5),monitoramento!$E$5,IF(AND(L153=monitoramento!$C$6,M153=monitoramento!$D$6),monitoramento!$E$6,IF(AND(L153=monitoramento!$C$7,M153=monitoramento!$D$7),monitoramento!$E$7,IF(AND(L153=monitoramento!$C$8,M153=monitoramento!$D$8),monitoramento!$E$8,IF(AND(L153=monitoramento!$C$9,M153=monitoramento!$D$9),monitoramento!$E$9,IF(AND(L153=monitoramento!$C$10,M153=monitoramento!$D$10),monitoramento!$E$10,IF(AND(L153=monitoramento!$C$11,M153=monitoramento!$D$11),monitoramento!$E$11,IF(AND(L153=monitoramento!$C$12,M153=monitoramento!$D$12),monitoramento!$E$12,IF(AND(L153=monitoramento!$C$13,M153=monitoramento!$D$13),monitoramento!$E$13,IF(AND(L153=monitoramento!$C$14,M153=monitoramento!$D$14),monitoramento!$E$14,IF(AND(L153=monitoramento!$C$15,M153=monitoramento!$D$15),monitoramento!$E$15,IF(AND(L153=monitoramento!$C$16,M153=monitoramento!$D$16),monitoramento!$E$16,IF(AND(L153=monitoramento!$C$17,M153=monitoramento!$D$17),monitoramento!$E$17,IF(AND(L153=monitoramento!$C$18,M153=monitoramento!$D$18),monitoramento!$E$18,IF(AND(L153=monitoramento!$C$19,M153=monitoramento!$D$19),monitoramento!$E$19))))))))))))))))</f>
        <v>0</v>
      </c>
      <c r="O153" s="55"/>
      <c r="P153" s="55"/>
    </row>
    <row r="154" spans="8:16" ht="25.9" customHeight="1" thickBot="1" x14ac:dyDescent="0.25">
      <c r="H154" s="29">
        <f>AEP!BF159</f>
        <v>0</v>
      </c>
      <c r="I154" s="30">
        <f>AEP!BI159</f>
        <v>0</v>
      </c>
      <c r="J154" s="31">
        <f>AEP!BM159</f>
        <v>0</v>
      </c>
      <c r="K154" s="32" t="str">
        <f>IF(AND(I154=INCERTEZA!$B$3,J154=INCERTEZA!$C$3),INCERTEZA!$D$3,IF(AND(I154=INCERTEZA!$B$4,J154=INCERTEZA!$C$4),INCERTEZA!$D$4,IF(AND(I154=INCERTEZA!$B$5,J154=INCERTEZA!$C$5),INCERTEZA!$D$5,IF(AND(I154=INCERTEZA!$B$6,J154=INCERTEZA!$C$6),INCERTEZA!$D$6,IF(AND(I154=INCERTEZA!$B$7,J154=INCERTEZA!$C$7),INCERTEZA!$D$7,IF(AND(I154=INCERTEZA!$B$8,J154=INCERTEZA!$C$8),INCERTEZA!$D$8,IF(AND(I154=INCERTEZA!$B$9,J154=INCERTEZA!$C$9),INCERTEZA!$D$9,IF(AND(I154=INCERTEZA!$B$10,J154=INCERTEZA!$C$10),INCERTEZA!$D$10,IF(AND(I154=INCERTEZA!$B$11,J154=INCERTEZA!$C$11),INCERTEZA!$D$11,IF(AND(I154=INCERTEZA!$B$12,J154=INCERTEZA!$C$12),INCERTEZA!$D$12,IF(AND(I154=INCERTEZA!$B$13,J154=INCERTEZA!$C$13),INCERTEZA!$D$13,IF(AND(I154=INCERTEZA!$B$14,J154=INCERTEZA!$C$14),INCERTEZA!$D$14,IF(AND(I154=INCERTEZA!$B$15,J154=INCERTEZA!$C$15),INCERTEZA!$D$15,IF(AND(I154=INCERTEZA!$B$16,J154=INCERTEZA!$C$16),INCERTEZA!$D$16,IF(AND(I154=INCERTEZA!$B$17,J154=INCERTEZA!$C$17),INCERTEZA!$D$17,"-")))))))))))))))</f>
        <v>-</v>
      </c>
      <c r="L154" s="33">
        <f>AEP!CX159</f>
        <v>0</v>
      </c>
      <c r="M154" s="34">
        <f>AEP!CO159</f>
        <v>0</v>
      </c>
      <c r="N154" s="55" t="b">
        <f>IF(AND(L154=monitoramento!$C$4,M154=monitoramento!$D$4),monitoramento!$E$4,IF(AND(L154=monitoramento!$C$5,M154=monitoramento!$D$5),monitoramento!$E$5,IF(AND(L154=monitoramento!$C$6,M154=monitoramento!$D$6),monitoramento!$E$6,IF(AND(L154=monitoramento!$C$7,M154=monitoramento!$D$7),monitoramento!$E$7,IF(AND(L154=monitoramento!$C$8,M154=monitoramento!$D$8),monitoramento!$E$8,IF(AND(L154=monitoramento!$C$9,M154=monitoramento!$D$9),monitoramento!$E$9,IF(AND(L154=monitoramento!$C$10,M154=monitoramento!$D$10),monitoramento!$E$10,IF(AND(L154=monitoramento!$C$11,M154=monitoramento!$D$11),monitoramento!$E$11,IF(AND(L154=monitoramento!$C$12,M154=monitoramento!$D$12),monitoramento!$E$12,IF(AND(L154=monitoramento!$C$13,M154=monitoramento!$D$13),monitoramento!$E$13,IF(AND(L154=monitoramento!$C$14,M154=monitoramento!$D$14),monitoramento!$E$14,IF(AND(L154=monitoramento!$C$15,M154=monitoramento!$D$15),monitoramento!$E$15,IF(AND(L154=monitoramento!$C$16,M154=monitoramento!$D$16),monitoramento!$E$16,IF(AND(L154=monitoramento!$C$17,M154=monitoramento!$D$17),monitoramento!$E$17,IF(AND(L154=monitoramento!$C$18,M154=monitoramento!$D$18),monitoramento!$E$18,IF(AND(L154=monitoramento!$C$19,M154=monitoramento!$D$19),monitoramento!$E$19))))))))))))))))</f>
        <v>0</v>
      </c>
      <c r="O154" s="55"/>
      <c r="P154" s="55"/>
    </row>
    <row r="155" spans="8:16" ht="25.9" customHeight="1" thickBot="1" x14ac:dyDescent="0.25">
      <c r="H155" s="29">
        <f>AEP!BF160</f>
        <v>0</v>
      </c>
      <c r="I155" s="30">
        <f>AEP!BI160</f>
        <v>0</v>
      </c>
      <c r="J155" s="31">
        <f>AEP!BM160</f>
        <v>0</v>
      </c>
      <c r="K155" s="32" t="str">
        <f>IF(AND(I155=INCERTEZA!$B$3,J155=INCERTEZA!$C$3),INCERTEZA!$D$3,IF(AND(I155=INCERTEZA!$B$4,J155=INCERTEZA!$C$4),INCERTEZA!$D$4,IF(AND(I155=INCERTEZA!$B$5,J155=INCERTEZA!$C$5),INCERTEZA!$D$5,IF(AND(I155=INCERTEZA!$B$6,J155=INCERTEZA!$C$6),INCERTEZA!$D$6,IF(AND(I155=INCERTEZA!$B$7,J155=INCERTEZA!$C$7),INCERTEZA!$D$7,IF(AND(I155=INCERTEZA!$B$8,J155=INCERTEZA!$C$8),INCERTEZA!$D$8,IF(AND(I155=INCERTEZA!$B$9,J155=INCERTEZA!$C$9),INCERTEZA!$D$9,IF(AND(I155=INCERTEZA!$B$10,J155=INCERTEZA!$C$10),INCERTEZA!$D$10,IF(AND(I155=INCERTEZA!$B$11,J155=INCERTEZA!$C$11),INCERTEZA!$D$11,IF(AND(I155=INCERTEZA!$B$12,J155=INCERTEZA!$C$12),INCERTEZA!$D$12,IF(AND(I155=INCERTEZA!$B$13,J155=INCERTEZA!$C$13),INCERTEZA!$D$13,IF(AND(I155=INCERTEZA!$B$14,J155=INCERTEZA!$C$14),INCERTEZA!$D$14,IF(AND(I155=INCERTEZA!$B$15,J155=INCERTEZA!$C$15),INCERTEZA!$D$15,IF(AND(I155=INCERTEZA!$B$16,J155=INCERTEZA!$C$16),INCERTEZA!$D$16,IF(AND(I155=INCERTEZA!$B$17,J155=INCERTEZA!$C$17),INCERTEZA!$D$17,"-")))))))))))))))</f>
        <v>-</v>
      </c>
      <c r="L155" s="33">
        <f>AEP!CX160</f>
        <v>0</v>
      </c>
      <c r="M155" s="34">
        <f>AEP!CO160</f>
        <v>0</v>
      </c>
      <c r="N155" s="55" t="b">
        <f>IF(AND(L155=monitoramento!$C$4,M155=monitoramento!$D$4),monitoramento!$E$4,IF(AND(L155=monitoramento!$C$5,M155=monitoramento!$D$5),monitoramento!$E$5,IF(AND(L155=monitoramento!$C$6,M155=monitoramento!$D$6),monitoramento!$E$6,IF(AND(L155=monitoramento!$C$7,M155=monitoramento!$D$7),monitoramento!$E$7,IF(AND(L155=monitoramento!$C$8,M155=monitoramento!$D$8),monitoramento!$E$8,IF(AND(L155=monitoramento!$C$9,M155=monitoramento!$D$9),monitoramento!$E$9,IF(AND(L155=monitoramento!$C$10,M155=monitoramento!$D$10),monitoramento!$E$10,IF(AND(L155=monitoramento!$C$11,M155=monitoramento!$D$11),monitoramento!$E$11,IF(AND(L155=monitoramento!$C$12,M155=monitoramento!$D$12),monitoramento!$E$12,IF(AND(L155=monitoramento!$C$13,M155=monitoramento!$D$13),monitoramento!$E$13,IF(AND(L155=monitoramento!$C$14,M155=monitoramento!$D$14),monitoramento!$E$14,IF(AND(L155=monitoramento!$C$15,M155=monitoramento!$D$15),monitoramento!$E$15,IF(AND(L155=monitoramento!$C$16,M155=monitoramento!$D$16),monitoramento!$E$16,IF(AND(L155=monitoramento!$C$17,M155=monitoramento!$D$17),monitoramento!$E$17,IF(AND(L155=monitoramento!$C$18,M155=monitoramento!$D$18),monitoramento!$E$18,IF(AND(L155=monitoramento!$C$19,M155=monitoramento!$D$19),monitoramento!$E$19))))))))))))))))</f>
        <v>0</v>
      </c>
      <c r="O155" s="55"/>
      <c r="P155" s="55"/>
    </row>
    <row r="156" spans="8:16" ht="25.9" customHeight="1" thickBot="1" x14ac:dyDescent="0.25">
      <c r="H156" s="29">
        <f>AEP!BF161</f>
        <v>0</v>
      </c>
      <c r="I156" s="30">
        <f>AEP!BI161</f>
        <v>0</v>
      </c>
      <c r="J156" s="31">
        <f>AEP!BM161</f>
        <v>0</v>
      </c>
      <c r="K156" s="32" t="str">
        <f>IF(AND(I156=INCERTEZA!$B$3,J156=INCERTEZA!$C$3),INCERTEZA!$D$3,IF(AND(I156=INCERTEZA!$B$4,J156=INCERTEZA!$C$4),INCERTEZA!$D$4,IF(AND(I156=INCERTEZA!$B$5,J156=INCERTEZA!$C$5),INCERTEZA!$D$5,IF(AND(I156=INCERTEZA!$B$6,J156=INCERTEZA!$C$6),INCERTEZA!$D$6,IF(AND(I156=INCERTEZA!$B$7,J156=INCERTEZA!$C$7),INCERTEZA!$D$7,IF(AND(I156=INCERTEZA!$B$8,J156=INCERTEZA!$C$8),INCERTEZA!$D$8,IF(AND(I156=INCERTEZA!$B$9,J156=INCERTEZA!$C$9),INCERTEZA!$D$9,IF(AND(I156=INCERTEZA!$B$10,J156=INCERTEZA!$C$10),INCERTEZA!$D$10,IF(AND(I156=INCERTEZA!$B$11,J156=INCERTEZA!$C$11),INCERTEZA!$D$11,IF(AND(I156=INCERTEZA!$B$12,J156=INCERTEZA!$C$12),INCERTEZA!$D$12,IF(AND(I156=INCERTEZA!$B$13,J156=INCERTEZA!$C$13),INCERTEZA!$D$13,IF(AND(I156=INCERTEZA!$B$14,J156=INCERTEZA!$C$14),INCERTEZA!$D$14,IF(AND(I156=INCERTEZA!$B$15,J156=INCERTEZA!$C$15),INCERTEZA!$D$15,IF(AND(I156=INCERTEZA!$B$16,J156=INCERTEZA!$C$16),INCERTEZA!$D$16,IF(AND(I156=INCERTEZA!$B$17,J156=INCERTEZA!$C$17),INCERTEZA!$D$17,"-")))))))))))))))</f>
        <v>-</v>
      </c>
      <c r="L156" s="33">
        <f>AEP!CX161</f>
        <v>0</v>
      </c>
      <c r="M156" s="34">
        <f>AEP!CO161</f>
        <v>0</v>
      </c>
      <c r="N156" s="55" t="b">
        <f>IF(AND(L156=monitoramento!$C$4,M156=monitoramento!$D$4),monitoramento!$E$4,IF(AND(L156=monitoramento!$C$5,M156=monitoramento!$D$5),monitoramento!$E$5,IF(AND(L156=monitoramento!$C$6,M156=monitoramento!$D$6),monitoramento!$E$6,IF(AND(L156=monitoramento!$C$7,M156=monitoramento!$D$7),monitoramento!$E$7,IF(AND(L156=monitoramento!$C$8,M156=monitoramento!$D$8),monitoramento!$E$8,IF(AND(L156=monitoramento!$C$9,M156=monitoramento!$D$9),monitoramento!$E$9,IF(AND(L156=monitoramento!$C$10,M156=monitoramento!$D$10),monitoramento!$E$10,IF(AND(L156=monitoramento!$C$11,M156=monitoramento!$D$11),monitoramento!$E$11,IF(AND(L156=monitoramento!$C$12,M156=monitoramento!$D$12),monitoramento!$E$12,IF(AND(L156=monitoramento!$C$13,M156=monitoramento!$D$13),monitoramento!$E$13,IF(AND(L156=monitoramento!$C$14,M156=monitoramento!$D$14),monitoramento!$E$14,IF(AND(L156=monitoramento!$C$15,M156=monitoramento!$D$15),monitoramento!$E$15,IF(AND(L156=monitoramento!$C$16,M156=monitoramento!$D$16),monitoramento!$E$16,IF(AND(L156=monitoramento!$C$17,M156=monitoramento!$D$17),monitoramento!$E$17,IF(AND(L156=monitoramento!$C$18,M156=monitoramento!$D$18),monitoramento!$E$18,IF(AND(L156=monitoramento!$C$19,M156=monitoramento!$D$19),monitoramento!$E$19))))))))))))))))</f>
        <v>0</v>
      </c>
      <c r="O156" s="55"/>
      <c r="P156" s="55"/>
    </row>
    <row r="157" spans="8:16" ht="25.9" customHeight="1" thickBot="1" x14ac:dyDescent="0.25">
      <c r="H157" s="29">
        <f>AEP!BF162</f>
        <v>0</v>
      </c>
      <c r="I157" s="30">
        <f>AEP!BI162</f>
        <v>0</v>
      </c>
      <c r="J157" s="31">
        <f>AEP!BM162</f>
        <v>0</v>
      </c>
      <c r="K157" s="32" t="str">
        <f>IF(AND(I157=INCERTEZA!$B$3,J157=INCERTEZA!$C$3),INCERTEZA!$D$3,IF(AND(I157=INCERTEZA!$B$4,J157=INCERTEZA!$C$4),INCERTEZA!$D$4,IF(AND(I157=INCERTEZA!$B$5,J157=INCERTEZA!$C$5),INCERTEZA!$D$5,IF(AND(I157=INCERTEZA!$B$6,J157=INCERTEZA!$C$6),INCERTEZA!$D$6,IF(AND(I157=INCERTEZA!$B$7,J157=INCERTEZA!$C$7),INCERTEZA!$D$7,IF(AND(I157=INCERTEZA!$B$8,J157=INCERTEZA!$C$8),INCERTEZA!$D$8,IF(AND(I157=INCERTEZA!$B$9,J157=INCERTEZA!$C$9),INCERTEZA!$D$9,IF(AND(I157=INCERTEZA!$B$10,J157=INCERTEZA!$C$10),INCERTEZA!$D$10,IF(AND(I157=INCERTEZA!$B$11,J157=INCERTEZA!$C$11),INCERTEZA!$D$11,IF(AND(I157=INCERTEZA!$B$12,J157=INCERTEZA!$C$12),INCERTEZA!$D$12,IF(AND(I157=INCERTEZA!$B$13,J157=INCERTEZA!$C$13),INCERTEZA!$D$13,IF(AND(I157=INCERTEZA!$B$14,J157=INCERTEZA!$C$14),INCERTEZA!$D$14,IF(AND(I157=INCERTEZA!$B$15,J157=INCERTEZA!$C$15),INCERTEZA!$D$15,IF(AND(I157=INCERTEZA!$B$16,J157=INCERTEZA!$C$16),INCERTEZA!$D$16,IF(AND(I157=INCERTEZA!$B$17,J157=INCERTEZA!$C$17),INCERTEZA!$D$17,"-")))))))))))))))</f>
        <v>-</v>
      </c>
      <c r="L157" s="33">
        <f>AEP!CX162</f>
        <v>0</v>
      </c>
      <c r="M157" s="34">
        <f>AEP!CO162</f>
        <v>0</v>
      </c>
      <c r="N157" s="55" t="b">
        <f>IF(AND(L157=monitoramento!$C$4,M157=monitoramento!$D$4),monitoramento!$E$4,IF(AND(L157=monitoramento!$C$5,M157=monitoramento!$D$5),monitoramento!$E$5,IF(AND(L157=monitoramento!$C$6,M157=monitoramento!$D$6),monitoramento!$E$6,IF(AND(L157=monitoramento!$C$7,M157=monitoramento!$D$7),monitoramento!$E$7,IF(AND(L157=monitoramento!$C$8,M157=monitoramento!$D$8),monitoramento!$E$8,IF(AND(L157=monitoramento!$C$9,M157=monitoramento!$D$9),monitoramento!$E$9,IF(AND(L157=monitoramento!$C$10,M157=monitoramento!$D$10),monitoramento!$E$10,IF(AND(L157=monitoramento!$C$11,M157=monitoramento!$D$11),monitoramento!$E$11,IF(AND(L157=monitoramento!$C$12,M157=monitoramento!$D$12),monitoramento!$E$12,IF(AND(L157=monitoramento!$C$13,M157=monitoramento!$D$13),monitoramento!$E$13,IF(AND(L157=monitoramento!$C$14,M157=monitoramento!$D$14),monitoramento!$E$14,IF(AND(L157=monitoramento!$C$15,M157=monitoramento!$D$15),monitoramento!$E$15,IF(AND(L157=monitoramento!$C$16,M157=monitoramento!$D$16),monitoramento!$E$16,IF(AND(L157=monitoramento!$C$17,M157=monitoramento!$D$17),monitoramento!$E$17,IF(AND(L157=monitoramento!$C$18,M157=monitoramento!$D$18),monitoramento!$E$18,IF(AND(L157=monitoramento!$C$19,M157=monitoramento!$D$19),monitoramento!$E$19))))))))))))))))</f>
        <v>0</v>
      </c>
      <c r="O157" s="55"/>
      <c r="P157" s="55"/>
    </row>
    <row r="158" spans="8:16" ht="25.9" customHeight="1" thickBot="1" x14ac:dyDescent="0.25">
      <c r="H158" s="29">
        <f>AEP!BF163</f>
        <v>0</v>
      </c>
      <c r="I158" s="30">
        <f>AEP!BI163</f>
        <v>0</v>
      </c>
      <c r="J158" s="31">
        <f>AEP!BM163</f>
        <v>0</v>
      </c>
      <c r="K158" s="32" t="str">
        <f>IF(AND(I158=INCERTEZA!$B$3,J158=INCERTEZA!$C$3),INCERTEZA!$D$3,IF(AND(I158=INCERTEZA!$B$4,J158=INCERTEZA!$C$4),INCERTEZA!$D$4,IF(AND(I158=INCERTEZA!$B$5,J158=INCERTEZA!$C$5),INCERTEZA!$D$5,IF(AND(I158=INCERTEZA!$B$6,J158=INCERTEZA!$C$6),INCERTEZA!$D$6,IF(AND(I158=INCERTEZA!$B$7,J158=INCERTEZA!$C$7),INCERTEZA!$D$7,IF(AND(I158=INCERTEZA!$B$8,J158=INCERTEZA!$C$8),INCERTEZA!$D$8,IF(AND(I158=INCERTEZA!$B$9,J158=INCERTEZA!$C$9),INCERTEZA!$D$9,IF(AND(I158=INCERTEZA!$B$10,J158=INCERTEZA!$C$10),INCERTEZA!$D$10,IF(AND(I158=INCERTEZA!$B$11,J158=INCERTEZA!$C$11),INCERTEZA!$D$11,IF(AND(I158=INCERTEZA!$B$12,J158=INCERTEZA!$C$12),INCERTEZA!$D$12,IF(AND(I158=INCERTEZA!$B$13,J158=INCERTEZA!$C$13),INCERTEZA!$D$13,IF(AND(I158=INCERTEZA!$B$14,J158=INCERTEZA!$C$14),INCERTEZA!$D$14,IF(AND(I158=INCERTEZA!$B$15,J158=INCERTEZA!$C$15),INCERTEZA!$D$15,IF(AND(I158=INCERTEZA!$B$16,J158=INCERTEZA!$C$16),INCERTEZA!$D$16,IF(AND(I158=INCERTEZA!$B$17,J158=INCERTEZA!$C$17),INCERTEZA!$D$17,"-")))))))))))))))</f>
        <v>-</v>
      </c>
      <c r="L158" s="33">
        <f>AEP!CX163</f>
        <v>0</v>
      </c>
      <c r="M158" s="34">
        <f>AEP!CO163</f>
        <v>0</v>
      </c>
      <c r="N158" s="55" t="b">
        <f>IF(AND(L158=monitoramento!$C$4,M158=monitoramento!$D$4),monitoramento!$E$4,IF(AND(L158=monitoramento!$C$5,M158=monitoramento!$D$5),monitoramento!$E$5,IF(AND(L158=monitoramento!$C$6,M158=monitoramento!$D$6),monitoramento!$E$6,IF(AND(L158=monitoramento!$C$7,M158=monitoramento!$D$7),monitoramento!$E$7,IF(AND(L158=monitoramento!$C$8,M158=monitoramento!$D$8),monitoramento!$E$8,IF(AND(L158=monitoramento!$C$9,M158=monitoramento!$D$9),monitoramento!$E$9,IF(AND(L158=monitoramento!$C$10,M158=monitoramento!$D$10),monitoramento!$E$10,IF(AND(L158=monitoramento!$C$11,M158=monitoramento!$D$11),monitoramento!$E$11,IF(AND(L158=monitoramento!$C$12,M158=monitoramento!$D$12),monitoramento!$E$12,IF(AND(L158=monitoramento!$C$13,M158=monitoramento!$D$13),monitoramento!$E$13,IF(AND(L158=monitoramento!$C$14,M158=monitoramento!$D$14),monitoramento!$E$14,IF(AND(L158=monitoramento!$C$15,M158=monitoramento!$D$15),monitoramento!$E$15,IF(AND(L158=monitoramento!$C$16,M158=monitoramento!$D$16),monitoramento!$E$16,IF(AND(L158=monitoramento!$C$17,M158=monitoramento!$D$17),monitoramento!$E$17,IF(AND(L158=monitoramento!$C$18,M158=monitoramento!$D$18),monitoramento!$E$18,IF(AND(L158=monitoramento!$C$19,M158=monitoramento!$D$19),monitoramento!$E$19))))))))))))))))</f>
        <v>0</v>
      </c>
      <c r="O158" s="55"/>
      <c r="P158" s="55"/>
    </row>
    <row r="159" spans="8:16" ht="25.9" customHeight="1" thickBot="1" x14ac:dyDescent="0.25">
      <c r="H159" s="29">
        <f>AEP!BF164</f>
        <v>0</v>
      </c>
      <c r="I159" s="30">
        <f>AEP!BI164</f>
        <v>0</v>
      </c>
      <c r="J159" s="31">
        <f>AEP!BM164</f>
        <v>0</v>
      </c>
      <c r="K159" s="32" t="str">
        <f>IF(AND(I159=INCERTEZA!$B$3,J159=INCERTEZA!$C$3),INCERTEZA!$D$3,IF(AND(I159=INCERTEZA!$B$4,J159=INCERTEZA!$C$4),INCERTEZA!$D$4,IF(AND(I159=INCERTEZA!$B$5,J159=INCERTEZA!$C$5),INCERTEZA!$D$5,IF(AND(I159=INCERTEZA!$B$6,J159=INCERTEZA!$C$6),INCERTEZA!$D$6,IF(AND(I159=INCERTEZA!$B$7,J159=INCERTEZA!$C$7),INCERTEZA!$D$7,IF(AND(I159=INCERTEZA!$B$8,J159=INCERTEZA!$C$8),INCERTEZA!$D$8,IF(AND(I159=INCERTEZA!$B$9,J159=INCERTEZA!$C$9),INCERTEZA!$D$9,IF(AND(I159=INCERTEZA!$B$10,J159=INCERTEZA!$C$10),INCERTEZA!$D$10,IF(AND(I159=INCERTEZA!$B$11,J159=INCERTEZA!$C$11),INCERTEZA!$D$11,IF(AND(I159=INCERTEZA!$B$12,J159=INCERTEZA!$C$12),INCERTEZA!$D$12,IF(AND(I159=INCERTEZA!$B$13,J159=INCERTEZA!$C$13),INCERTEZA!$D$13,IF(AND(I159=INCERTEZA!$B$14,J159=INCERTEZA!$C$14),INCERTEZA!$D$14,IF(AND(I159=INCERTEZA!$B$15,J159=INCERTEZA!$C$15),INCERTEZA!$D$15,IF(AND(I159=INCERTEZA!$B$16,J159=INCERTEZA!$C$16),INCERTEZA!$D$16,IF(AND(I159=INCERTEZA!$B$17,J159=INCERTEZA!$C$17),INCERTEZA!$D$17,"-")))))))))))))))</f>
        <v>-</v>
      </c>
      <c r="L159" s="33">
        <f>AEP!CX164</f>
        <v>0</v>
      </c>
      <c r="M159" s="34">
        <f>AEP!CO164</f>
        <v>0</v>
      </c>
      <c r="N159" s="55" t="b">
        <f>IF(AND(L159=monitoramento!$C$4,M159=monitoramento!$D$4),monitoramento!$E$4,IF(AND(L159=monitoramento!$C$5,M159=monitoramento!$D$5),monitoramento!$E$5,IF(AND(L159=monitoramento!$C$6,M159=monitoramento!$D$6),monitoramento!$E$6,IF(AND(L159=monitoramento!$C$7,M159=monitoramento!$D$7),monitoramento!$E$7,IF(AND(L159=monitoramento!$C$8,M159=monitoramento!$D$8),monitoramento!$E$8,IF(AND(L159=monitoramento!$C$9,M159=monitoramento!$D$9),monitoramento!$E$9,IF(AND(L159=monitoramento!$C$10,M159=monitoramento!$D$10),monitoramento!$E$10,IF(AND(L159=monitoramento!$C$11,M159=monitoramento!$D$11),monitoramento!$E$11,IF(AND(L159=monitoramento!$C$12,M159=monitoramento!$D$12),monitoramento!$E$12,IF(AND(L159=monitoramento!$C$13,M159=monitoramento!$D$13),monitoramento!$E$13,IF(AND(L159=monitoramento!$C$14,M159=monitoramento!$D$14),monitoramento!$E$14,IF(AND(L159=monitoramento!$C$15,M159=monitoramento!$D$15),monitoramento!$E$15,IF(AND(L159=monitoramento!$C$16,M159=monitoramento!$D$16),monitoramento!$E$16,IF(AND(L159=monitoramento!$C$17,M159=monitoramento!$D$17),monitoramento!$E$17,IF(AND(L159=monitoramento!$C$18,M159=monitoramento!$D$18),monitoramento!$E$18,IF(AND(L159=monitoramento!$C$19,M159=monitoramento!$D$19),monitoramento!$E$19))))))))))))))))</f>
        <v>0</v>
      </c>
      <c r="O159" s="55"/>
      <c r="P159" s="55"/>
    </row>
    <row r="160" spans="8:16" ht="25.9" customHeight="1" thickBot="1" x14ac:dyDescent="0.25">
      <c r="H160" s="29">
        <f>AEP!BF165</f>
        <v>0</v>
      </c>
      <c r="I160" s="30">
        <f>AEP!BI165</f>
        <v>0</v>
      </c>
      <c r="J160" s="31">
        <f>AEP!BM165</f>
        <v>0</v>
      </c>
      <c r="K160" s="32" t="str">
        <f>IF(AND(I160=INCERTEZA!$B$3,J160=INCERTEZA!$C$3),INCERTEZA!$D$3,IF(AND(I160=INCERTEZA!$B$4,J160=INCERTEZA!$C$4),INCERTEZA!$D$4,IF(AND(I160=INCERTEZA!$B$5,J160=INCERTEZA!$C$5),INCERTEZA!$D$5,IF(AND(I160=INCERTEZA!$B$6,J160=INCERTEZA!$C$6),INCERTEZA!$D$6,IF(AND(I160=INCERTEZA!$B$7,J160=INCERTEZA!$C$7),INCERTEZA!$D$7,IF(AND(I160=INCERTEZA!$B$8,J160=INCERTEZA!$C$8),INCERTEZA!$D$8,IF(AND(I160=INCERTEZA!$B$9,J160=INCERTEZA!$C$9),INCERTEZA!$D$9,IF(AND(I160=INCERTEZA!$B$10,J160=INCERTEZA!$C$10),INCERTEZA!$D$10,IF(AND(I160=INCERTEZA!$B$11,J160=INCERTEZA!$C$11),INCERTEZA!$D$11,IF(AND(I160=INCERTEZA!$B$12,J160=INCERTEZA!$C$12),INCERTEZA!$D$12,IF(AND(I160=INCERTEZA!$B$13,J160=INCERTEZA!$C$13),INCERTEZA!$D$13,IF(AND(I160=INCERTEZA!$B$14,J160=INCERTEZA!$C$14),INCERTEZA!$D$14,IF(AND(I160=INCERTEZA!$B$15,J160=INCERTEZA!$C$15),INCERTEZA!$D$15,IF(AND(I160=INCERTEZA!$B$16,J160=INCERTEZA!$C$16),INCERTEZA!$D$16,IF(AND(I160=INCERTEZA!$B$17,J160=INCERTEZA!$C$17),INCERTEZA!$D$17,"-")))))))))))))))</f>
        <v>-</v>
      </c>
      <c r="L160" s="33">
        <f>AEP!CX165</f>
        <v>0</v>
      </c>
      <c r="M160" s="34">
        <f>AEP!CO165</f>
        <v>0</v>
      </c>
      <c r="N160" s="55" t="b">
        <f>IF(AND(L160=monitoramento!$C$4,M160=monitoramento!$D$4),monitoramento!$E$4,IF(AND(L160=monitoramento!$C$5,M160=monitoramento!$D$5),monitoramento!$E$5,IF(AND(L160=monitoramento!$C$6,M160=monitoramento!$D$6),monitoramento!$E$6,IF(AND(L160=monitoramento!$C$7,M160=monitoramento!$D$7),monitoramento!$E$7,IF(AND(L160=monitoramento!$C$8,M160=monitoramento!$D$8),monitoramento!$E$8,IF(AND(L160=monitoramento!$C$9,M160=monitoramento!$D$9),monitoramento!$E$9,IF(AND(L160=monitoramento!$C$10,M160=monitoramento!$D$10),monitoramento!$E$10,IF(AND(L160=monitoramento!$C$11,M160=monitoramento!$D$11),monitoramento!$E$11,IF(AND(L160=monitoramento!$C$12,M160=monitoramento!$D$12),monitoramento!$E$12,IF(AND(L160=monitoramento!$C$13,M160=monitoramento!$D$13),monitoramento!$E$13,IF(AND(L160=monitoramento!$C$14,M160=monitoramento!$D$14),monitoramento!$E$14,IF(AND(L160=monitoramento!$C$15,M160=monitoramento!$D$15),monitoramento!$E$15,IF(AND(L160=monitoramento!$C$16,M160=monitoramento!$D$16),monitoramento!$E$16,IF(AND(L160=monitoramento!$C$17,M160=monitoramento!$D$17),monitoramento!$E$17,IF(AND(L160=monitoramento!$C$18,M160=monitoramento!$D$18),monitoramento!$E$18,IF(AND(L160=monitoramento!$C$19,M160=monitoramento!$D$19),monitoramento!$E$19))))))))))))))))</f>
        <v>0</v>
      </c>
      <c r="O160" s="55"/>
      <c r="P160" s="55"/>
    </row>
    <row r="161" spans="8:16" ht="25.9" customHeight="1" thickBot="1" x14ac:dyDescent="0.25">
      <c r="H161" s="29">
        <f>AEP!BF166</f>
        <v>0</v>
      </c>
      <c r="I161" s="30">
        <f>AEP!BI166</f>
        <v>0</v>
      </c>
      <c r="J161" s="31">
        <f>AEP!BM166</f>
        <v>0</v>
      </c>
      <c r="K161" s="32" t="str">
        <f>IF(AND(I161=INCERTEZA!$B$3,J161=INCERTEZA!$C$3),INCERTEZA!$D$3,IF(AND(I161=INCERTEZA!$B$4,J161=INCERTEZA!$C$4),INCERTEZA!$D$4,IF(AND(I161=INCERTEZA!$B$5,J161=INCERTEZA!$C$5),INCERTEZA!$D$5,IF(AND(I161=INCERTEZA!$B$6,J161=INCERTEZA!$C$6),INCERTEZA!$D$6,IF(AND(I161=INCERTEZA!$B$7,J161=INCERTEZA!$C$7),INCERTEZA!$D$7,IF(AND(I161=INCERTEZA!$B$8,J161=INCERTEZA!$C$8),INCERTEZA!$D$8,IF(AND(I161=INCERTEZA!$B$9,J161=INCERTEZA!$C$9),INCERTEZA!$D$9,IF(AND(I161=INCERTEZA!$B$10,J161=INCERTEZA!$C$10),INCERTEZA!$D$10,IF(AND(I161=INCERTEZA!$B$11,J161=INCERTEZA!$C$11),INCERTEZA!$D$11,IF(AND(I161=INCERTEZA!$B$12,J161=INCERTEZA!$C$12),INCERTEZA!$D$12,IF(AND(I161=INCERTEZA!$B$13,J161=INCERTEZA!$C$13),INCERTEZA!$D$13,IF(AND(I161=INCERTEZA!$B$14,J161=INCERTEZA!$C$14),INCERTEZA!$D$14,IF(AND(I161=INCERTEZA!$B$15,J161=INCERTEZA!$C$15),INCERTEZA!$D$15,IF(AND(I161=INCERTEZA!$B$16,J161=INCERTEZA!$C$16),INCERTEZA!$D$16,IF(AND(I161=INCERTEZA!$B$17,J161=INCERTEZA!$C$17),INCERTEZA!$D$17,"-")))))))))))))))</f>
        <v>-</v>
      </c>
      <c r="L161" s="33">
        <f>AEP!CX166</f>
        <v>0</v>
      </c>
      <c r="M161" s="34">
        <f>AEP!CO166</f>
        <v>0</v>
      </c>
      <c r="N161" s="55" t="b">
        <f>IF(AND(L161=monitoramento!$C$4,M161=monitoramento!$D$4),monitoramento!$E$4,IF(AND(L161=monitoramento!$C$5,M161=monitoramento!$D$5),monitoramento!$E$5,IF(AND(L161=monitoramento!$C$6,M161=monitoramento!$D$6),monitoramento!$E$6,IF(AND(L161=monitoramento!$C$7,M161=monitoramento!$D$7),monitoramento!$E$7,IF(AND(L161=monitoramento!$C$8,M161=monitoramento!$D$8),monitoramento!$E$8,IF(AND(L161=monitoramento!$C$9,M161=monitoramento!$D$9),monitoramento!$E$9,IF(AND(L161=monitoramento!$C$10,M161=monitoramento!$D$10),monitoramento!$E$10,IF(AND(L161=monitoramento!$C$11,M161=monitoramento!$D$11),monitoramento!$E$11,IF(AND(L161=monitoramento!$C$12,M161=monitoramento!$D$12),monitoramento!$E$12,IF(AND(L161=monitoramento!$C$13,M161=monitoramento!$D$13),monitoramento!$E$13,IF(AND(L161=monitoramento!$C$14,M161=monitoramento!$D$14),monitoramento!$E$14,IF(AND(L161=monitoramento!$C$15,M161=monitoramento!$D$15),monitoramento!$E$15,IF(AND(L161=monitoramento!$C$16,M161=monitoramento!$D$16),monitoramento!$E$16,IF(AND(L161=monitoramento!$C$17,M161=monitoramento!$D$17),monitoramento!$E$17,IF(AND(L161=monitoramento!$C$18,M161=monitoramento!$D$18),monitoramento!$E$18,IF(AND(L161=monitoramento!$C$19,M161=monitoramento!$D$19),monitoramento!$E$19))))))))))))))))</f>
        <v>0</v>
      </c>
      <c r="O161" s="55"/>
      <c r="P161" s="55"/>
    </row>
    <row r="162" spans="8:16" ht="25.9" customHeight="1" thickBot="1" x14ac:dyDescent="0.25">
      <c r="H162" s="29">
        <f>AEP!BF167</f>
        <v>0</v>
      </c>
      <c r="I162" s="30">
        <f>AEP!BI167</f>
        <v>0</v>
      </c>
      <c r="J162" s="31">
        <f>AEP!BM167</f>
        <v>0</v>
      </c>
      <c r="K162" s="32" t="str">
        <f>IF(AND(I162=INCERTEZA!$B$3,J162=INCERTEZA!$C$3),INCERTEZA!$D$3,IF(AND(I162=INCERTEZA!$B$4,J162=INCERTEZA!$C$4),INCERTEZA!$D$4,IF(AND(I162=INCERTEZA!$B$5,J162=INCERTEZA!$C$5),INCERTEZA!$D$5,IF(AND(I162=INCERTEZA!$B$6,J162=INCERTEZA!$C$6),INCERTEZA!$D$6,IF(AND(I162=INCERTEZA!$B$7,J162=INCERTEZA!$C$7),INCERTEZA!$D$7,IF(AND(I162=INCERTEZA!$B$8,J162=INCERTEZA!$C$8),INCERTEZA!$D$8,IF(AND(I162=INCERTEZA!$B$9,J162=INCERTEZA!$C$9),INCERTEZA!$D$9,IF(AND(I162=INCERTEZA!$B$10,J162=INCERTEZA!$C$10),INCERTEZA!$D$10,IF(AND(I162=INCERTEZA!$B$11,J162=INCERTEZA!$C$11),INCERTEZA!$D$11,IF(AND(I162=INCERTEZA!$B$12,J162=INCERTEZA!$C$12),INCERTEZA!$D$12,IF(AND(I162=INCERTEZA!$B$13,J162=INCERTEZA!$C$13),INCERTEZA!$D$13,IF(AND(I162=INCERTEZA!$B$14,J162=INCERTEZA!$C$14),INCERTEZA!$D$14,IF(AND(I162=INCERTEZA!$B$15,J162=INCERTEZA!$C$15),INCERTEZA!$D$15,IF(AND(I162=INCERTEZA!$B$16,J162=INCERTEZA!$C$16),INCERTEZA!$D$16,IF(AND(I162=INCERTEZA!$B$17,J162=INCERTEZA!$C$17),INCERTEZA!$D$17,"-")))))))))))))))</f>
        <v>-</v>
      </c>
      <c r="L162" s="33">
        <f>AEP!CX167</f>
        <v>0</v>
      </c>
      <c r="M162" s="34">
        <f>AEP!CO167</f>
        <v>0</v>
      </c>
      <c r="N162" s="55" t="b">
        <f>IF(AND(L162=monitoramento!$C$4,M162=monitoramento!$D$4),monitoramento!$E$4,IF(AND(L162=monitoramento!$C$5,M162=monitoramento!$D$5),monitoramento!$E$5,IF(AND(L162=monitoramento!$C$6,M162=monitoramento!$D$6),monitoramento!$E$6,IF(AND(L162=monitoramento!$C$7,M162=monitoramento!$D$7),monitoramento!$E$7,IF(AND(L162=monitoramento!$C$8,M162=monitoramento!$D$8),monitoramento!$E$8,IF(AND(L162=monitoramento!$C$9,M162=monitoramento!$D$9),monitoramento!$E$9,IF(AND(L162=monitoramento!$C$10,M162=monitoramento!$D$10),monitoramento!$E$10,IF(AND(L162=monitoramento!$C$11,M162=monitoramento!$D$11),monitoramento!$E$11,IF(AND(L162=monitoramento!$C$12,M162=monitoramento!$D$12),monitoramento!$E$12,IF(AND(L162=monitoramento!$C$13,M162=monitoramento!$D$13),monitoramento!$E$13,IF(AND(L162=monitoramento!$C$14,M162=monitoramento!$D$14),monitoramento!$E$14,IF(AND(L162=monitoramento!$C$15,M162=monitoramento!$D$15),monitoramento!$E$15,IF(AND(L162=monitoramento!$C$16,M162=monitoramento!$D$16),monitoramento!$E$16,IF(AND(L162=monitoramento!$C$17,M162=monitoramento!$D$17),monitoramento!$E$17,IF(AND(L162=monitoramento!$C$18,M162=monitoramento!$D$18),monitoramento!$E$18,IF(AND(L162=monitoramento!$C$19,M162=monitoramento!$D$19),monitoramento!$E$19))))))))))))))))</f>
        <v>0</v>
      </c>
      <c r="O162" s="55"/>
      <c r="P162" s="55"/>
    </row>
    <row r="163" spans="8:16" ht="25.9" customHeight="1" thickBot="1" x14ac:dyDescent="0.25">
      <c r="H163" s="29">
        <f>AEP!BF168</f>
        <v>0</v>
      </c>
      <c r="I163" s="30">
        <f>AEP!BI168</f>
        <v>0</v>
      </c>
      <c r="J163" s="31">
        <f>AEP!BM168</f>
        <v>0</v>
      </c>
      <c r="K163" s="32" t="str">
        <f>IF(AND(I163=INCERTEZA!$B$3,J163=INCERTEZA!$C$3),INCERTEZA!$D$3,IF(AND(I163=INCERTEZA!$B$4,J163=INCERTEZA!$C$4),INCERTEZA!$D$4,IF(AND(I163=INCERTEZA!$B$5,J163=INCERTEZA!$C$5),INCERTEZA!$D$5,IF(AND(I163=INCERTEZA!$B$6,J163=INCERTEZA!$C$6),INCERTEZA!$D$6,IF(AND(I163=INCERTEZA!$B$7,J163=INCERTEZA!$C$7),INCERTEZA!$D$7,IF(AND(I163=INCERTEZA!$B$8,J163=INCERTEZA!$C$8),INCERTEZA!$D$8,IF(AND(I163=INCERTEZA!$B$9,J163=INCERTEZA!$C$9),INCERTEZA!$D$9,IF(AND(I163=INCERTEZA!$B$10,J163=INCERTEZA!$C$10),INCERTEZA!$D$10,IF(AND(I163=INCERTEZA!$B$11,J163=INCERTEZA!$C$11),INCERTEZA!$D$11,IF(AND(I163=INCERTEZA!$B$12,J163=INCERTEZA!$C$12),INCERTEZA!$D$12,IF(AND(I163=INCERTEZA!$B$13,J163=INCERTEZA!$C$13),INCERTEZA!$D$13,IF(AND(I163=INCERTEZA!$B$14,J163=INCERTEZA!$C$14),INCERTEZA!$D$14,IF(AND(I163=INCERTEZA!$B$15,J163=INCERTEZA!$C$15),INCERTEZA!$D$15,IF(AND(I163=INCERTEZA!$B$16,J163=INCERTEZA!$C$16),INCERTEZA!$D$16,IF(AND(I163=INCERTEZA!$B$17,J163=INCERTEZA!$C$17),INCERTEZA!$D$17,"-")))))))))))))))</f>
        <v>-</v>
      </c>
      <c r="L163" s="33">
        <f>AEP!CX168</f>
        <v>0</v>
      </c>
      <c r="M163" s="34">
        <f>AEP!CO168</f>
        <v>0</v>
      </c>
      <c r="N163" s="55" t="b">
        <f>IF(AND(L163=monitoramento!$C$4,M163=monitoramento!$D$4),monitoramento!$E$4,IF(AND(L163=monitoramento!$C$5,M163=monitoramento!$D$5),monitoramento!$E$5,IF(AND(L163=monitoramento!$C$6,M163=monitoramento!$D$6),monitoramento!$E$6,IF(AND(L163=monitoramento!$C$7,M163=monitoramento!$D$7),monitoramento!$E$7,IF(AND(L163=monitoramento!$C$8,M163=monitoramento!$D$8),monitoramento!$E$8,IF(AND(L163=monitoramento!$C$9,M163=monitoramento!$D$9),monitoramento!$E$9,IF(AND(L163=monitoramento!$C$10,M163=monitoramento!$D$10),monitoramento!$E$10,IF(AND(L163=monitoramento!$C$11,M163=monitoramento!$D$11),monitoramento!$E$11,IF(AND(L163=monitoramento!$C$12,M163=monitoramento!$D$12),monitoramento!$E$12,IF(AND(L163=monitoramento!$C$13,M163=monitoramento!$D$13),monitoramento!$E$13,IF(AND(L163=monitoramento!$C$14,M163=monitoramento!$D$14),monitoramento!$E$14,IF(AND(L163=monitoramento!$C$15,M163=monitoramento!$D$15),monitoramento!$E$15,IF(AND(L163=monitoramento!$C$16,M163=monitoramento!$D$16),monitoramento!$E$16,IF(AND(L163=monitoramento!$C$17,M163=monitoramento!$D$17),monitoramento!$E$17,IF(AND(L163=monitoramento!$C$18,M163=monitoramento!$D$18),monitoramento!$E$18,IF(AND(L163=monitoramento!$C$19,M163=monitoramento!$D$19),monitoramento!$E$19))))))))))))))))</f>
        <v>0</v>
      </c>
      <c r="O163" s="55"/>
      <c r="P163" s="55"/>
    </row>
    <row r="164" spans="8:16" ht="25.9" customHeight="1" thickBot="1" x14ac:dyDescent="0.25">
      <c r="H164" s="29">
        <f>AEP!BF169</f>
        <v>0</v>
      </c>
      <c r="I164" s="30">
        <f>AEP!BI169</f>
        <v>0</v>
      </c>
      <c r="J164" s="31">
        <f>AEP!BM169</f>
        <v>0</v>
      </c>
      <c r="K164" s="32" t="str">
        <f>IF(AND(I164=INCERTEZA!$B$3,J164=INCERTEZA!$C$3),INCERTEZA!$D$3,IF(AND(I164=INCERTEZA!$B$4,J164=INCERTEZA!$C$4),INCERTEZA!$D$4,IF(AND(I164=INCERTEZA!$B$5,J164=INCERTEZA!$C$5),INCERTEZA!$D$5,IF(AND(I164=INCERTEZA!$B$6,J164=INCERTEZA!$C$6),INCERTEZA!$D$6,IF(AND(I164=INCERTEZA!$B$7,J164=INCERTEZA!$C$7),INCERTEZA!$D$7,IF(AND(I164=INCERTEZA!$B$8,J164=INCERTEZA!$C$8),INCERTEZA!$D$8,IF(AND(I164=INCERTEZA!$B$9,J164=INCERTEZA!$C$9),INCERTEZA!$D$9,IF(AND(I164=INCERTEZA!$B$10,J164=INCERTEZA!$C$10),INCERTEZA!$D$10,IF(AND(I164=INCERTEZA!$B$11,J164=INCERTEZA!$C$11),INCERTEZA!$D$11,IF(AND(I164=INCERTEZA!$B$12,J164=INCERTEZA!$C$12),INCERTEZA!$D$12,IF(AND(I164=INCERTEZA!$B$13,J164=INCERTEZA!$C$13),INCERTEZA!$D$13,IF(AND(I164=INCERTEZA!$B$14,J164=INCERTEZA!$C$14),INCERTEZA!$D$14,IF(AND(I164=INCERTEZA!$B$15,J164=INCERTEZA!$C$15),INCERTEZA!$D$15,IF(AND(I164=INCERTEZA!$B$16,J164=INCERTEZA!$C$16),INCERTEZA!$D$16,IF(AND(I164=INCERTEZA!$B$17,J164=INCERTEZA!$C$17),INCERTEZA!$D$17,"-")))))))))))))))</f>
        <v>-</v>
      </c>
      <c r="L164" s="33">
        <f>AEP!CX169</f>
        <v>0</v>
      </c>
      <c r="M164" s="34">
        <f>AEP!CO169</f>
        <v>0</v>
      </c>
      <c r="N164" s="55" t="b">
        <f>IF(AND(L164=monitoramento!$C$4,M164=monitoramento!$D$4),monitoramento!$E$4,IF(AND(L164=monitoramento!$C$5,M164=monitoramento!$D$5),monitoramento!$E$5,IF(AND(L164=monitoramento!$C$6,M164=monitoramento!$D$6),monitoramento!$E$6,IF(AND(L164=monitoramento!$C$7,M164=monitoramento!$D$7),monitoramento!$E$7,IF(AND(L164=monitoramento!$C$8,M164=monitoramento!$D$8),monitoramento!$E$8,IF(AND(L164=monitoramento!$C$9,M164=monitoramento!$D$9),monitoramento!$E$9,IF(AND(L164=monitoramento!$C$10,M164=monitoramento!$D$10),monitoramento!$E$10,IF(AND(L164=monitoramento!$C$11,M164=monitoramento!$D$11),monitoramento!$E$11,IF(AND(L164=monitoramento!$C$12,M164=monitoramento!$D$12),monitoramento!$E$12,IF(AND(L164=monitoramento!$C$13,M164=monitoramento!$D$13),monitoramento!$E$13,IF(AND(L164=monitoramento!$C$14,M164=monitoramento!$D$14),monitoramento!$E$14,IF(AND(L164=monitoramento!$C$15,M164=monitoramento!$D$15),monitoramento!$E$15,IF(AND(L164=monitoramento!$C$16,M164=monitoramento!$D$16),monitoramento!$E$16,IF(AND(L164=monitoramento!$C$17,M164=monitoramento!$D$17),monitoramento!$E$17,IF(AND(L164=monitoramento!$C$18,M164=monitoramento!$D$18),monitoramento!$E$18,IF(AND(L164=monitoramento!$C$19,M164=monitoramento!$D$19),monitoramento!$E$19))))))))))))))))</f>
        <v>0</v>
      </c>
      <c r="O164" s="55"/>
      <c r="P164" s="55"/>
    </row>
    <row r="165" spans="8:16" ht="25.9" customHeight="1" thickBot="1" x14ac:dyDescent="0.25">
      <c r="H165" s="29">
        <f>AEP!BF170</f>
        <v>0</v>
      </c>
      <c r="I165" s="30">
        <f>AEP!BI170</f>
        <v>0</v>
      </c>
      <c r="J165" s="31">
        <f>AEP!BM170</f>
        <v>0</v>
      </c>
      <c r="K165" s="32" t="str">
        <f>IF(AND(I165=INCERTEZA!$B$3,J165=INCERTEZA!$C$3),INCERTEZA!$D$3,IF(AND(I165=INCERTEZA!$B$4,J165=INCERTEZA!$C$4),INCERTEZA!$D$4,IF(AND(I165=INCERTEZA!$B$5,J165=INCERTEZA!$C$5),INCERTEZA!$D$5,IF(AND(I165=INCERTEZA!$B$6,J165=INCERTEZA!$C$6),INCERTEZA!$D$6,IF(AND(I165=INCERTEZA!$B$7,J165=INCERTEZA!$C$7),INCERTEZA!$D$7,IF(AND(I165=INCERTEZA!$B$8,J165=INCERTEZA!$C$8),INCERTEZA!$D$8,IF(AND(I165=INCERTEZA!$B$9,J165=INCERTEZA!$C$9),INCERTEZA!$D$9,IF(AND(I165=INCERTEZA!$B$10,J165=INCERTEZA!$C$10),INCERTEZA!$D$10,IF(AND(I165=INCERTEZA!$B$11,J165=INCERTEZA!$C$11),INCERTEZA!$D$11,IF(AND(I165=INCERTEZA!$B$12,J165=INCERTEZA!$C$12),INCERTEZA!$D$12,IF(AND(I165=INCERTEZA!$B$13,J165=INCERTEZA!$C$13),INCERTEZA!$D$13,IF(AND(I165=INCERTEZA!$B$14,J165=INCERTEZA!$C$14),INCERTEZA!$D$14,IF(AND(I165=INCERTEZA!$B$15,J165=INCERTEZA!$C$15),INCERTEZA!$D$15,IF(AND(I165=INCERTEZA!$B$16,J165=INCERTEZA!$C$16),INCERTEZA!$D$16,IF(AND(I165=INCERTEZA!$B$17,J165=INCERTEZA!$C$17),INCERTEZA!$D$17,"-")))))))))))))))</f>
        <v>-</v>
      </c>
      <c r="L165" s="33">
        <f>AEP!CX170</f>
        <v>0</v>
      </c>
      <c r="M165" s="34">
        <f>AEP!CO170</f>
        <v>0</v>
      </c>
      <c r="N165" s="55" t="b">
        <f>IF(AND(L165=monitoramento!$C$4,M165=monitoramento!$D$4),monitoramento!$E$4,IF(AND(L165=monitoramento!$C$5,M165=monitoramento!$D$5),monitoramento!$E$5,IF(AND(L165=monitoramento!$C$6,M165=monitoramento!$D$6),monitoramento!$E$6,IF(AND(L165=monitoramento!$C$7,M165=monitoramento!$D$7),monitoramento!$E$7,IF(AND(L165=monitoramento!$C$8,M165=monitoramento!$D$8),monitoramento!$E$8,IF(AND(L165=monitoramento!$C$9,M165=monitoramento!$D$9),monitoramento!$E$9,IF(AND(L165=monitoramento!$C$10,M165=monitoramento!$D$10),monitoramento!$E$10,IF(AND(L165=monitoramento!$C$11,M165=monitoramento!$D$11),monitoramento!$E$11,IF(AND(L165=monitoramento!$C$12,M165=monitoramento!$D$12),monitoramento!$E$12,IF(AND(L165=monitoramento!$C$13,M165=monitoramento!$D$13),monitoramento!$E$13,IF(AND(L165=monitoramento!$C$14,M165=monitoramento!$D$14),monitoramento!$E$14,IF(AND(L165=monitoramento!$C$15,M165=monitoramento!$D$15),monitoramento!$E$15,IF(AND(L165=monitoramento!$C$16,M165=monitoramento!$D$16),monitoramento!$E$16,IF(AND(L165=monitoramento!$C$17,M165=monitoramento!$D$17),monitoramento!$E$17,IF(AND(L165=monitoramento!$C$18,M165=monitoramento!$D$18),monitoramento!$E$18,IF(AND(L165=monitoramento!$C$19,M165=monitoramento!$D$19),monitoramento!$E$19))))))))))))))))</f>
        <v>0</v>
      </c>
      <c r="O165" s="55"/>
      <c r="P165" s="55"/>
    </row>
    <row r="166" spans="8:16" ht="25.9" customHeight="1" thickBot="1" x14ac:dyDescent="0.25">
      <c r="H166" s="29">
        <f>AEP!BF171</f>
        <v>0</v>
      </c>
      <c r="I166" s="30">
        <f>AEP!BI171</f>
        <v>0</v>
      </c>
      <c r="J166" s="31">
        <f>AEP!BM171</f>
        <v>0</v>
      </c>
      <c r="K166" s="32" t="str">
        <f>IF(AND(I166=INCERTEZA!$B$3,J166=INCERTEZA!$C$3),INCERTEZA!$D$3,IF(AND(I166=INCERTEZA!$B$4,J166=INCERTEZA!$C$4),INCERTEZA!$D$4,IF(AND(I166=INCERTEZA!$B$5,J166=INCERTEZA!$C$5),INCERTEZA!$D$5,IF(AND(I166=INCERTEZA!$B$6,J166=INCERTEZA!$C$6),INCERTEZA!$D$6,IF(AND(I166=INCERTEZA!$B$7,J166=INCERTEZA!$C$7),INCERTEZA!$D$7,IF(AND(I166=INCERTEZA!$B$8,J166=INCERTEZA!$C$8),INCERTEZA!$D$8,IF(AND(I166=INCERTEZA!$B$9,J166=INCERTEZA!$C$9),INCERTEZA!$D$9,IF(AND(I166=INCERTEZA!$B$10,J166=INCERTEZA!$C$10),INCERTEZA!$D$10,IF(AND(I166=INCERTEZA!$B$11,J166=INCERTEZA!$C$11),INCERTEZA!$D$11,IF(AND(I166=INCERTEZA!$B$12,J166=INCERTEZA!$C$12),INCERTEZA!$D$12,IF(AND(I166=INCERTEZA!$B$13,J166=INCERTEZA!$C$13),INCERTEZA!$D$13,IF(AND(I166=INCERTEZA!$B$14,J166=INCERTEZA!$C$14),INCERTEZA!$D$14,IF(AND(I166=INCERTEZA!$B$15,J166=INCERTEZA!$C$15),INCERTEZA!$D$15,IF(AND(I166=INCERTEZA!$B$16,J166=INCERTEZA!$C$16),INCERTEZA!$D$16,IF(AND(I166=INCERTEZA!$B$17,J166=INCERTEZA!$C$17),INCERTEZA!$D$17,"-")))))))))))))))</f>
        <v>-</v>
      </c>
      <c r="L166" s="33">
        <f>AEP!CX171</f>
        <v>0</v>
      </c>
      <c r="M166" s="34">
        <f>AEP!CO171</f>
        <v>0</v>
      </c>
      <c r="N166" s="55" t="b">
        <f>IF(AND(L166=monitoramento!$C$4,M166=monitoramento!$D$4),monitoramento!$E$4,IF(AND(L166=monitoramento!$C$5,M166=monitoramento!$D$5),monitoramento!$E$5,IF(AND(L166=monitoramento!$C$6,M166=monitoramento!$D$6),monitoramento!$E$6,IF(AND(L166=monitoramento!$C$7,M166=monitoramento!$D$7),monitoramento!$E$7,IF(AND(L166=monitoramento!$C$8,M166=monitoramento!$D$8),monitoramento!$E$8,IF(AND(L166=monitoramento!$C$9,M166=monitoramento!$D$9),monitoramento!$E$9,IF(AND(L166=monitoramento!$C$10,M166=monitoramento!$D$10),monitoramento!$E$10,IF(AND(L166=monitoramento!$C$11,M166=monitoramento!$D$11),monitoramento!$E$11,IF(AND(L166=monitoramento!$C$12,M166=monitoramento!$D$12),monitoramento!$E$12,IF(AND(L166=monitoramento!$C$13,M166=monitoramento!$D$13),monitoramento!$E$13,IF(AND(L166=monitoramento!$C$14,M166=monitoramento!$D$14),monitoramento!$E$14,IF(AND(L166=monitoramento!$C$15,M166=monitoramento!$D$15),monitoramento!$E$15,IF(AND(L166=monitoramento!$C$16,M166=monitoramento!$D$16),monitoramento!$E$16,IF(AND(L166=monitoramento!$C$17,M166=monitoramento!$D$17),monitoramento!$E$17,IF(AND(L166=monitoramento!$C$18,M166=monitoramento!$D$18),monitoramento!$E$18,IF(AND(L166=monitoramento!$C$19,M166=monitoramento!$D$19),monitoramento!$E$19))))))))))))))))</f>
        <v>0</v>
      </c>
      <c r="O166" s="55"/>
      <c r="P166" s="55"/>
    </row>
    <row r="167" spans="8:16" ht="25.9" customHeight="1" thickBot="1" x14ac:dyDescent="0.25">
      <c r="H167" s="29">
        <f>AEP!BF172</f>
        <v>0</v>
      </c>
      <c r="I167" s="30">
        <f>AEP!BI172</f>
        <v>0</v>
      </c>
      <c r="J167" s="31">
        <f>AEP!BM172</f>
        <v>0</v>
      </c>
      <c r="K167" s="32" t="str">
        <f>IF(AND(I167=INCERTEZA!$B$3,J167=INCERTEZA!$C$3),INCERTEZA!$D$3,IF(AND(I167=INCERTEZA!$B$4,J167=INCERTEZA!$C$4),INCERTEZA!$D$4,IF(AND(I167=INCERTEZA!$B$5,J167=INCERTEZA!$C$5),INCERTEZA!$D$5,IF(AND(I167=INCERTEZA!$B$6,J167=INCERTEZA!$C$6),INCERTEZA!$D$6,IF(AND(I167=INCERTEZA!$B$7,J167=INCERTEZA!$C$7),INCERTEZA!$D$7,IF(AND(I167=INCERTEZA!$B$8,J167=INCERTEZA!$C$8),INCERTEZA!$D$8,IF(AND(I167=INCERTEZA!$B$9,J167=INCERTEZA!$C$9),INCERTEZA!$D$9,IF(AND(I167=INCERTEZA!$B$10,J167=INCERTEZA!$C$10),INCERTEZA!$D$10,IF(AND(I167=INCERTEZA!$B$11,J167=INCERTEZA!$C$11),INCERTEZA!$D$11,IF(AND(I167=INCERTEZA!$B$12,J167=INCERTEZA!$C$12),INCERTEZA!$D$12,IF(AND(I167=INCERTEZA!$B$13,J167=INCERTEZA!$C$13),INCERTEZA!$D$13,IF(AND(I167=INCERTEZA!$B$14,J167=INCERTEZA!$C$14),INCERTEZA!$D$14,IF(AND(I167=INCERTEZA!$B$15,J167=INCERTEZA!$C$15),INCERTEZA!$D$15,IF(AND(I167=INCERTEZA!$B$16,J167=INCERTEZA!$C$16),INCERTEZA!$D$16,IF(AND(I167=INCERTEZA!$B$17,J167=INCERTEZA!$C$17),INCERTEZA!$D$17,"-")))))))))))))))</f>
        <v>-</v>
      </c>
      <c r="L167" s="33">
        <f>AEP!CX172</f>
        <v>0</v>
      </c>
      <c r="M167" s="34">
        <f>AEP!CO172</f>
        <v>0</v>
      </c>
      <c r="N167" s="55" t="b">
        <f>IF(AND(L167=monitoramento!$C$4,M167=monitoramento!$D$4),monitoramento!$E$4,IF(AND(L167=monitoramento!$C$5,M167=monitoramento!$D$5),monitoramento!$E$5,IF(AND(L167=monitoramento!$C$6,M167=monitoramento!$D$6),monitoramento!$E$6,IF(AND(L167=monitoramento!$C$7,M167=monitoramento!$D$7),monitoramento!$E$7,IF(AND(L167=monitoramento!$C$8,M167=monitoramento!$D$8),monitoramento!$E$8,IF(AND(L167=monitoramento!$C$9,M167=monitoramento!$D$9),monitoramento!$E$9,IF(AND(L167=monitoramento!$C$10,M167=monitoramento!$D$10),monitoramento!$E$10,IF(AND(L167=monitoramento!$C$11,M167=monitoramento!$D$11),monitoramento!$E$11,IF(AND(L167=monitoramento!$C$12,M167=monitoramento!$D$12),monitoramento!$E$12,IF(AND(L167=monitoramento!$C$13,M167=monitoramento!$D$13),monitoramento!$E$13,IF(AND(L167=monitoramento!$C$14,M167=monitoramento!$D$14),monitoramento!$E$14,IF(AND(L167=monitoramento!$C$15,M167=monitoramento!$D$15),monitoramento!$E$15,IF(AND(L167=monitoramento!$C$16,M167=monitoramento!$D$16),monitoramento!$E$16,IF(AND(L167=monitoramento!$C$17,M167=monitoramento!$D$17),monitoramento!$E$17,IF(AND(L167=monitoramento!$C$18,M167=monitoramento!$D$18),monitoramento!$E$18,IF(AND(L167=monitoramento!$C$19,M167=monitoramento!$D$19),monitoramento!$E$19))))))))))))))))</f>
        <v>0</v>
      </c>
      <c r="O167" s="55"/>
      <c r="P167" s="55"/>
    </row>
    <row r="168" spans="8:16" ht="25.9" customHeight="1" thickBot="1" x14ac:dyDescent="0.25">
      <c r="H168" s="29">
        <f>AEP!BF173</f>
        <v>0</v>
      </c>
      <c r="I168" s="30">
        <f>AEP!BI173</f>
        <v>0</v>
      </c>
      <c r="J168" s="31">
        <f>AEP!BM173</f>
        <v>0</v>
      </c>
      <c r="K168" s="32" t="str">
        <f>IF(AND(I168=INCERTEZA!$B$3,J168=INCERTEZA!$C$3),INCERTEZA!$D$3,IF(AND(I168=INCERTEZA!$B$4,J168=INCERTEZA!$C$4),INCERTEZA!$D$4,IF(AND(I168=INCERTEZA!$B$5,J168=INCERTEZA!$C$5),INCERTEZA!$D$5,IF(AND(I168=INCERTEZA!$B$6,J168=INCERTEZA!$C$6),INCERTEZA!$D$6,IF(AND(I168=INCERTEZA!$B$7,J168=INCERTEZA!$C$7),INCERTEZA!$D$7,IF(AND(I168=INCERTEZA!$B$8,J168=INCERTEZA!$C$8),INCERTEZA!$D$8,IF(AND(I168=INCERTEZA!$B$9,J168=INCERTEZA!$C$9),INCERTEZA!$D$9,IF(AND(I168=INCERTEZA!$B$10,J168=INCERTEZA!$C$10),INCERTEZA!$D$10,IF(AND(I168=INCERTEZA!$B$11,J168=INCERTEZA!$C$11),INCERTEZA!$D$11,IF(AND(I168=INCERTEZA!$B$12,J168=INCERTEZA!$C$12),INCERTEZA!$D$12,IF(AND(I168=INCERTEZA!$B$13,J168=INCERTEZA!$C$13),INCERTEZA!$D$13,IF(AND(I168=INCERTEZA!$B$14,J168=INCERTEZA!$C$14),INCERTEZA!$D$14,IF(AND(I168=INCERTEZA!$B$15,J168=INCERTEZA!$C$15),INCERTEZA!$D$15,IF(AND(I168=INCERTEZA!$B$16,J168=INCERTEZA!$C$16),INCERTEZA!$D$16,IF(AND(I168=INCERTEZA!$B$17,J168=INCERTEZA!$C$17),INCERTEZA!$D$17,"-")))))))))))))))</f>
        <v>-</v>
      </c>
      <c r="L168" s="33">
        <f>AEP!CX173</f>
        <v>0</v>
      </c>
      <c r="M168" s="34">
        <f>AEP!CO173</f>
        <v>0</v>
      </c>
      <c r="N168" s="55" t="b">
        <f>IF(AND(L168=monitoramento!$C$4,M168=monitoramento!$D$4),monitoramento!$E$4,IF(AND(L168=monitoramento!$C$5,M168=monitoramento!$D$5),monitoramento!$E$5,IF(AND(L168=monitoramento!$C$6,M168=monitoramento!$D$6),monitoramento!$E$6,IF(AND(L168=monitoramento!$C$7,M168=monitoramento!$D$7),monitoramento!$E$7,IF(AND(L168=monitoramento!$C$8,M168=monitoramento!$D$8),monitoramento!$E$8,IF(AND(L168=monitoramento!$C$9,M168=monitoramento!$D$9),monitoramento!$E$9,IF(AND(L168=monitoramento!$C$10,M168=monitoramento!$D$10),monitoramento!$E$10,IF(AND(L168=monitoramento!$C$11,M168=monitoramento!$D$11),monitoramento!$E$11,IF(AND(L168=monitoramento!$C$12,M168=monitoramento!$D$12),monitoramento!$E$12,IF(AND(L168=monitoramento!$C$13,M168=monitoramento!$D$13),monitoramento!$E$13,IF(AND(L168=monitoramento!$C$14,M168=monitoramento!$D$14),monitoramento!$E$14,IF(AND(L168=monitoramento!$C$15,M168=monitoramento!$D$15),monitoramento!$E$15,IF(AND(L168=monitoramento!$C$16,M168=monitoramento!$D$16),monitoramento!$E$16,IF(AND(L168=monitoramento!$C$17,M168=monitoramento!$D$17),monitoramento!$E$17,IF(AND(L168=monitoramento!$C$18,M168=monitoramento!$D$18),monitoramento!$E$18,IF(AND(L168=monitoramento!$C$19,M168=monitoramento!$D$19),monitoramento!$E$19))))))))))))))))</f>
        <v>0</v>
      </c>
      <c r="O168" s="55"/>
      <c r="P168" s="55"/>
    </row>
    <row r="169" spans="8:16" ht="25.9" customHeight="1" thickBot="1" x14ac:dyDescent="0.25">
      <c r="H169" s="29">
        <f>AEP!BF174</f>
        <v>0</v>
      </c>
      <c r="I169" s="30">
        <f>AEP!BI174</f>
        <v>0</v>
      </c>
      <c r="J169" s="31">
        <f>AEP!BM174</f>
        <v>0</v>
      </c>
      <c r="K169" s="32" t="str">
        <f>IF(AND(I169=INCERTEZA!$B$3,J169=INCERTEZA!$C$3),INCERTEZA!$D$3,IF(AND(I169=INCERTEZA!$B$4,J169=INCERTEZA!$C$4),INCERTEZA!$D$4,IF(AND(I169=INCERTEZA!$B$5,J169=INCERTEZA!$C$5),INCERTEZA!$D$5,IF(AND(I169=INCERTEZA!$B$6,J169=INCERTEZA!$C$6),INCERTEZA!$D$6,IF(AND(I169=INCERTEZA!$B$7,J169=INCERTEZA!$C$7),INCERTEZA!$D$7,IF(AND(I169=INCERTEZA!$B$8,J169=INCERTEZA!$C$8),INCERTEZA!$D$8,IF(AND(I169=INCERTEZA!$B$9,J169=INCERTEZA!$C$9),INCERTEZA!$D$9,IF(AND(I169=INCERTEZA!$B$10,J169=INCERTEZA!$C$10),INCERTEZA!$D$10,IF(AND(I169=INCERTEZA!$B$11,J169=INCERTEZA!$C$11),INCERTEZA!$D$11,IF(AND(I169=INCERTEZA!$B$12,J169=INCERTEZA!$C$12),INCERTEZA!$D$12,IF(AND(I169=INCERTEZA!$B$13,J169=INCERTEZA!$C$13),INCERTEZA!$D$13,IF(AND(I169=INCERTEZA!$B$14,J169=INCERTEZA!$C$14),INCERTEZA!$D$14,IF(AND(I169=INCERTEZA!$B$15,J169=INCERTEZA!$C$15),INCERTEZA!$D$15,IF(AND(I169=INCERTEZA!$B$16,J169=INCERTEZA!$C$16),INCERTEZA!$D$16,IF(AND(I169=INCERTEZA!$B$17,J169=INCERTEZA!$C$17),INCERTEZA!$D$17,"-")))))))))))))))</f>
        <v>-</v>
      </c>
      <c r="L169" s="33">
        <f>AEP!CX174</f>
        <v>0</v>
      </c>
      <c r="M169" s="34">
        <f>AEP!CO174</f>
        <v>0</v>
      </c>
      <c r="N169" s="55" t="b">
        <f>IF(AND(L169=monitoramento!$C$4,M169=monitoramento!$D$4),monitoramento!$E$4,IF(AND(L169=monitoramento!$C$5,M169=monitoramento!$D$5),monitoramento!$E$5,IF(AND(L169=monitoramento!$C$6,M169=monitoramento!$D$6),monitoramento!$E$6,IF(AND(L169=monitoramento!$C$7,M169=monitoramento!$D$7),monitoramento!$E$7,IF(AND(L169=monitoramento!$C$8,M169=monitoramento!$D$8),monitoramento!$E$8,IF(AND(L169=monitoramento!$C$9,M169=monitoramento!$D$9),monitoramento!$E$9,IF(AND(L169=monitoramento!$C$10,M169=monitoramento!$D$10),monitoramento!$E$10,IF(AND(L169=monitoramento!$C$11,M169=monitoramento!$D$11),monitoramento!$E$11,IF(AND(L169=monitoramento!$C$12,M169=monitoramento!$D$12),monitoramento!$E$12,IF(AND(L169=monitoramento!$C$13,M169=monitoramento!$D$13),monitoramento!$E$13,IF(AND(L169=monitoramento!$C$14,M169=monitoramento!$D$14),monitoramento!$E$14,IF(AND(L169=monitoramento!$C$15,M169=monitoramento!$D$15),monitoramento!$E$15,IF(AND(L169=monitoramento!$C$16,M169=monitoramento!$D$16),monitoramento!$E$16,IF(AND(L169=monitoramento!$C$17,M169=monitoramento!$D$17),monitoramento!$E$17,IF(AND(L169=monitoramento!$C$18,M169=monitoramento!$D$18),monitoramento!$E$18,IF(AND(L169=monitoramento!$C$19,M169=monitoramento!$D$19),monitoramento!$E$19))))))))))))))))</f>
        <v>0</v>
      </c>
      <c r="O169" s="55"/>
      <c r="P169" s="55"/>
    </row>
    <row r="170" spans="8:16" ht="25.9" customHeight="1" thickBot="1" x14ac:dyDescent="0.25">
      <c r="H170" s="29">
        <f>AEP!BF175</f>
        <v>0</v>
      </c>
      <c r="I170" s="30">
        <f>AEP!BI175</f>
        <v>0</v>
      </c>
      <c r="J170" s="31">
        <f>AEP!BM175</f>
        <v>0</v>
      </c>
      <c r="K170" s="32" t="str">
        <f>IF(AND(I170=INCERTEZA!$B$3,J170=INCERTEZA!$C$3),INCERTEZA!$D$3,IF(AND(I170=INCERTEZA!$B$4,J170=INCERTEZA!$C$4),INCERTEZA!$D$4,IF(AND(I170=INCERTEZA!$B$5,J170=INCERTEZA!$C$5),INCERTEZA!$D$5,IF(AND(I170=INCERTEZA!$B$6,J170=INCERTEZA!$C$6),INCERTEZA!$D$6,IF(AND(I170=INCERTEZA!$B$7,J170=INCERTEZA!$C$7),INCERTEZA!$D$7,IF(AND(I170=INCERTEZA!$B$8,J170=INCERTEZA!$C$8),INCERTEZA!$D$8,IF(AND(I170=INCERTEZA!$B$9,J170=INCERTEZA!$C$9),INCERTEZA!$D$9,IF(AND(I170=INCERTEZA!$B$10,J170=INCERTEZA!$C$10),INCERTEZA!$D$10,IF(AND(I170=INCERTEZA!$B$11,J170=INCERTEZA!$C$11),INCERTEZA!$D$11,IF(AND(I170=INCERTEZA!$B$12,J170=INCERTEZA!$C$12),INCERTEZA!$D$12,IF(AND(I170=INCERTEZA!$B$13,J170=INCERTEZA!$C$13),INCERTEZA!$D$13,IF(AND(I170=INCERTEZA!$B$14,J170=INCERTEZA!$C$14),INCERTEZA!$D$14,IF(AND(I170=INCERTEZA!$B$15,J170=INCERTEZA!$C$15),INCERTEZA!$D$15,IF(AND(I170=INCERTEZA!$B$16,J170=INCERTEZA!$C$16),INCERTEZA!$D$16,IF(AND(I170=INCERTEZA!$B$17,J170=INCERTEZA!$C$17),INCERTEZA!$D$17,"-")))))))))))))))</f>
        <v>-</v>
      </c>
      <c r="L170" s="33">
        <f>AEP!CX175</f>
        <v>0</v>
      </c>
      <c r="M170" s="34">
        <f>AEP!CO175</f>
        <v>0</v>
      </c>
      <c r="N170" s="55" t="b">
        <f>IF(AND(L170=monitoramento!$C$4,M170=monitoramento!$D$4),monitoramento!$E$4,IF(AND(L170=monitoramento!$C$5,M170=monitoramento!$D$5),monitoramento!$E$5,IF(AND(L170=monitoramento!$C$6,M170=monitoramento!$D$6),monitoramento!$E$6,IF(AND(L170=monitoramento!$C$7,M170=monitoramento!$D$7),monitoramento!$E$7,IF(AND(L170=monitoramento!$C$8,M170=monitoramento!$D$8),monitoramento!$E$8,IF(AND(L170=monitoramento!$C$9,M170=monitoramento!$D$9),monitoramento!$E$9,IF(AND(L170=monitoramento!$C$10,M170=monitoramento!$D$10),monitoramento!$E$10,IF(AND(L170=monitoramento!$C$11,M170=monitoramento!$D$11),monitoramento!$E$11,IF(AND(L170=monitoramento!$C$12,M170=monitoramento!$D$12),monitoramento!$E$12,IF(AND(L170=monitoramento!$C$13,M170=monitoramento!$D$13),monitoramento!$E$13,IF(AND(L170=monitoramento!$C$14,M170=monitoramento!$D$14),monitoramento!$E$14,IF(AND(L170=monitoramento!$C$15,M170=monitoramento!$D$15),monitoramento!$E$15,IF(AND(L170=monitoramento!$C$16,M170=monitoramento!$D$16),monitoramento!$E$16,IF(AND(L170=monitoramento!$C$17,M170=monitoramento!$D$17),monitoramento!$E$17,IF(AND(L170=monitoramento!$C$18,M170=monitoramento!$D$18),monitoramento!$E$18,IF(AND(L170=monitoramento!$C$19,M170=monitoramento!$D$19),monitoramento!$E$19))))))))))))))))</f>
        <v>0</v>
      </c>
      <c r="O170" s="55"/>
      <c r="P170" s="55"/>
    </row>
    <row r="171" spans="8:16" ht="25.9" customHeight="1" thickBot="1" x14ac:dyDescent="0.25">
      <c r="H171" s="29">
        <f>AEP!BF176</f>
        <v>0</v>
      </c>
      <c r="I171" s="30">
        <f>AEP!BI176</f>
        <v>0</v>
      </c>
      <c r="J171" s="31">
        <f>AEP!BM176</f>
        <v>0</v>
      </c>
      <c r="K171" s="32" t="str">
        <f>IF(AND(I171=INCERTEZA!$B$3,J171=INCERTEZA!$C$3),INCERTEZA!$D$3,IF(AND(I171=INCERTEZA!$B$4,J171=INCERTEZA!$C$4),INCERTEZA!$D$4,IF(AND(I171=INCERTEZA!$B$5,J171=INCERTEZA!$C$5),INCERTEZA!$D$5,IF(AND(I171=INCERTEZA!$B$6,J171=INCERTEZA!$C$6),INCERTEZA!$D$6,IF(AND(I171=INCERTEZA!$B$7,J171=INCERTEZA!$C$7),INCERTEZA!$D$7,IF(AND(I171=INCERTEZA!$B$8,J171=INCERTEZA!$C$8),INCERTEZA!$D$8,IF(AND(I171=INCERTEZA!$B$9,J171=INCERTEZA!$C$9),INCERTEZA!$D$9,IF(AND(I171=INCERTEZA!$B$10,J171=INCERTEZA!$C$10),INCERTEZA!$D$10,IF(AND(I171=INCERTEZA!$B$11,J171=INCERTEZA!$C$11),INCERTEZA!$D$11,IF(AND(I171=INCERTEZA!$B$12,J171=INCERTEZA!$C$12),INCERTEZA!$D$12,IF(AND(I171=INCERTEZA!$B$13,J171=INCERTEZA!$C$13),INCERTEZA!$D$13,IF(AND(I171=INCERTEZA!$B$14,J171=INCERTEZA!$C$14),INCERTEZA!$D$14,IF(AND(I171=INCERTEZA!$B$15,J171=INCERTEZA!$C$15),INCERTEZA!$D$15,IF(AND(I171=INCERTEZA!$B$16,J171=INCERTEZA!$C$16),INCERTEZA!$D$16,IF(AND(I171=INCERTEZA!$B$17,J171=INCERTEZA!$C$17),INCERTEZA!$D$17,"-")))))))))))))))</f>
        <v>-</v>
      </c>
      <c r="L171" s="33">
        <f>AEP!CX176</f>
        <v>0</v>
      </c>
      <c r="M171" s="34">
        <f>AEP!CO176</f>
        <v>0</v>
      </c>
      <c r="N171" s="55" t="b">
        <f>IF(AND(L171=monitoramento!$C$4,M171=monitoramento!$D$4),monitoramento!$E$4,IF(AND(L171=monitoramento!$C$5,M171=monitoramento!$D$5),monitoramento!$E$5,IF(AND(L171=monitoramento!$C$6,M171=monitoramento!$D$6),monitoramento!$E$6,IF(AND(L171=monitoramento!$C$7,M171=monitoramento!$D$7),monitoramento!$E$7,IF(AND(L171=monitoramento!$C$8,M171=monitoramento!$D$8),monitoramento!$E$8,IF(AND(L171=monitoramento!$C$9,M171=monitoramento!$D$9),monitoramento!$E$9,IF(AND(L171=monitoramento!$C$10,M171=monitoramento!$D$10),monitoramento!$E$10,IF(AND(L171=monitoramento!$C$11,M171=monitoramento!$D$11),monitoramento!$E$11,IF(AND(L171=monitoramento!$C$12,M171=monitoramento!$D$12),monitoramento!$E$12,IF(AND(L171=monitoramento!$C$13,M171=monitoramento!$D$13),monitoramento!$E$13,IF(AND(L171=monitoramento!$C$14,M171=monitoramento!$D$14),monitoramento!$E$14,IF(AND(L171=monitoramento!$C$15,M171=monitoramento!$D$15),monitoramento!$E$15,IF(AND(L171=monitoramento!$C$16,M171=monitoramento!$D$16),monitoramento!$E$16,IF(AND(L171=monitoramento!$C$17,M171=monitoramento!$D$17),monitoramento!$E$17,IF(AND(L171=monitoramento!$C$18,M171=monitoramento!$D$18),monitoramento!$E$18,IF(AND(L171=monitoramento!$C$19,M171=monitoramento!$D$19),monitoramento!$E$19))))))))))))))))</f>
        <v>0</v>
      </c>
      <c r="O171" s="55"/>
      <c r="P171" s="55"/>
    </row>
    <row r="172" spans="8:16" ht="25.9" customHeight="1" thickBot="1" x14ac:dyDescent="0.25">
      <c r="H172" s="29">
        <f>AEP!BF177</f>
        <v>0</v>
      </c>
      <c r="I172" s="30">
        <f>AEP!BI177</f>
        <v>0</v>
      </c>
      <c r="J172" s="31">
        <f>AEP!BM177</f>
        <v>0</v>
      </c>
      <c r="K172" s="32" t="str">
        <f>IF(AND(I172=INCERTEZA!$B$3,J172=INCERTEZA!$C$3),INCERTEZA!$D$3,IF(AND(I172=INCERTEZA!$B$4,J172=INCERTEZA!$C$4),INCERTEZA!$D$4,IF(AND(I172=INCERTEZA!$B$5,J172=INCERTEZA!$C$5),INCERTEZA!$D$5,IF(AND(I172=INCERTEZA!$B$6,J172=INCERTEZA!$C$6),INCERTEZA!$D$6,IF(AND(I172=INCERTEZA!$B$7,J172=INCERTEZA!$C$7),INCERTEZA!$D$7,IF(AND(I172=INCERTEZA!$B$8,J172=INCERTEZA!$C$8),INCERTEZA!$D$8,IF(AND(I172=INCERTEZA!$B$9,J172=INCERTEZA!$C$9),INCERTEZA!$D$9,IF(AND(I172=INCERTEZA!$B$10,J172=INCERTEZA!$C$10),INCERTEZA!$D$10,IF(AND(I172=INCERTEZA!$B$11,J172=INCERTEZA!$C$11),INCERTEZA!$D$11,IF(AND(I172=INCERTEZA!$B$12,J172=INCERTEZA!$C$12),INCERTEZA!$D$12,IF(AND(I172=INCERTEZA!$B$13,J172=INCERTEZA!$C$13),INCERTEZA!$D$13,IF(AND(I172=INCERTEZA!$B$14,J172=INCERTEZA!$C$14),INCERTEZA!$D$14,IF(AND(I172=INCERTEZA!$B$15,J172=INCERTEZA!$C$15),INCERTEZA!$D$15,IF(AND(I172=INCERTEZA!$B$16,J172=INCERTEZA!$C$16),INCERTEZA!$D$16,IF(AND(I172=INCERTEZA!$B$17,J172=INCERTEZA!$C$17),INCERTEZA!$D$17,"-")))))))))))))))</f>
        <v>-</v>
      </c>
      <c r="L172" s="33">
        <f>AEP!CX177</f>
        <v>0</v>
      </c>
      <c r="M172" s="34">
        <f>AEP!CO177</f>
        <v>0</v>
      </c>
      <c r="N172" s="55" t="b">
        <f>IF(AND(L172=monitoramento!$C$4,M172=monitoramento!$D$4),monitoramento!$E$4,IF(AND(L172=monitoramento!$C$5,M172=monitoramento!$D$5),monitoramento!$E$5,IF(AND(L172=monitoramento!$C$6,M172=monitoramento!$D$6),monitoramento!$E$6,IF(AND(L172=monitoramento!$C$7,M172=monitoramento!$D$7),monitoramento!$E$7,IF(AND(L172=monitoramento!$C$8,M172=monitoramento!$D$8),monitoramento!$E$8,IF(AND(L172=monitoramento!$C$9,M172=monitoramento!$D$9),monitoramento!$E$9,IF(AND(L172=monitoramento!$C$10,M172=monitoramento!$D$10),monitoramento!$E$10,IF(AND(L172=monitoramento!$C$11,M172=monitoramento!$D$11),monitoramento!$E$11,IF(AND(L172=monitoramento!$C$12,M172=monitoramento!$D$12),monitoramento!$E$12,IF(AND(L172=monitoramento!$C$13,M172=monitoramento!$D$13),monitoramento!$E$13,IF(AND(L172=monitoramento!$C$14,M172=monitoramento!$D$14),monitoramento!$E$14,IF(AND(L172=monitoramento!$C$15,M172=monitoramento!$D$15),monitoramento!$E$15,IF(AND(L172=monitoramento!$C$16,M172=monitoramento!$D$16),monitoramento!$E$16,IF(AND(L172=monitoramento!$C$17,M172=monitoramento!$D$17),monitoramento!$E$17,IF(AND(L172=monitoramento!$C$18,M172=monitoramento!$D$18),monitoramento!$E$18,IF(AND(L172=monitoramento!$C$19,M172=monitoramento!$D$19),monitoramento!$E$19))))))))))))))))</f>
        <v>0</v>
      </c>
      <c r="O172" s="55"/>
      <c r="P172" s="55"/>
    </row>
    <row r="173" spans="8:16" ht="25.9" customHeight="1" thickBot="1" x14ac:dyDescent="0.25">
      <c r="H173" s="29">
        <f>AEP!BF178</f>
        <v>0</v>
      </c>
      <c r="I173" s="30">
        <f>AEP!BI178</f>
        <v>0</v>
      </c>
      <c r="J173" s="31">
        <f>AEP!BM178</f>
        <v>0</v>
      </c>
      <c r="K173" s="32" t="str">
        <f>IF(AND(I173=INCERTEZA!$B$3,J173=INCERTEZA!$C$3),INCERTEZA!$D$3,IF(AND(I173=INCERTEZA!$B$4,J173=INCERTEZA!$C$4),INCERTEZA!$D$4,IF(AND(I173=INCERTEZA!$B$5,J173=INCERTEZA!$C$5),INCERTEZA!$D$5,IF(AND(I173=INCERTEZA!$B$6,J173=INCERTEZA!$C$6),INCERTEZA!$D$6,IF(AND(I173=INCERTEZA!$B$7,J173=INCERTEZA!$C$7),INCERTEZA!$D$7,IF(AND(I173=INCERTEZA!$B$8,J173=INCERTEZA!$C$8),INCERTEZA!$D$8,IF(AND(I173=INCERTEZA!$B$9,J173=INCERTEZA!$C$9),INCERTEZA!$D$9,IF(AND(I173=INCERTEZA!$B$10,J173=INCERTEZA!$C$10),INCERTEZA!$D$10,IF(AND(I173=INCERTEZA!$B$11,J173=INCERTEZA!$C$11),INCERTEZA!$D$11,IF(AND(I173=INCERTEZA!$B$12,J173=INCERTEZA!$C$12),INCERTEZA!$D$12,IF(AND(I173=INCERTEZA!$B$13,J173=INCERTEZA!$C$13),INCERTEZA!$D$13,IF(AND(I173=INCERTEZA!$B$14,J173=INCERTEZA!$C$14),INCERTEZA!$D$14,IF(AND(I173=INCERTEZA!$B$15,J173=INCERTEZA!$C$15),INCERTEZA!$D$15,IF(AND(I173=INCERTEZA!$B$16,J173=INCERTEZA!$C$16),INCERTEZA!$D$16,IF(AND(I173=INCERTEZA!$B$17,J173=INCERTEZA!$C$17),INCERTEZA!$D$17,"-")))))))))))))))</f>
        <v>-</v>
      </c>
      <c r="L173" s="33">
        <f>AEP!CX178</f>
        <v>0</v>
      </c>
      <c r="M173" s="34">
        <f>AEP!CO178</f>
        <v>0</v>
      </c>
      <c r="N173" s="55" t="b">
        <f>IF(AND(L173=monitoramento!$C$4,M173=monitoramento!$D$4),monitoramento!$E$4,IF(AND(L173=monitoramento!$C$5,M173=monitoramento!$D$5),monitoramento!$E$5,IF(AND(L173=monitoramento!$C$6,M173=monitoramento!$D$6),monitoramento!$E$6,IF(AND(L173=monitoramento!$C$7,M173=monitoramento!$D$7),monitoramento!$E$7,IF(AND(L173=monitoramento!$C$8,M173=monitoramento!$D$8),monitoramento!$E$8,IF(AND(L173=monitoramento!$C$9,M173=monitoramento!$D$9),monitoramento!$E$9,IF(AND(L173=monitoramento!$C$10,M173=monitoramento!$D$10),monitoramento!$E$10,IF(AND(L173=monitoramento!$C$11,M173=monitoramento!$D$11),monitoramento!$E$11,IF(AND(L173=monitoramento!$C$12,M173=monitoramento!$D$12),monitoramento!$E$12,IF(AND(L173=monitoramento!$C$13,M173=monitoramento!$D$13),monitoramento!$E$13,IF(AND(L173=monitoramento!$C$14,M173=monitoramento!$D$14),monitoramento!$E$14,IF(AND(L173=monitoramento!$C$15,M173=monitoramento!$D$15),monitoramento!$E$15,IF(AND(L173=monitoramento!$C$16,M173=monitoramento!$D$16),monitoramento!$E$16,IF(AND(L173=monitoramento!$C$17,M173=monitoramento!$D$17),monitoramento!$E$17,IF(AND(L173=monitoramento!$C$18,M173=monitoramento!$D$18),monitoramento!$E$18,IF(AND(L173=monitoramento!$C$19,M173=monitoramento!$D$19),monitoramento!$E$19))))))))))))))))</f>
        <v>0</v>
      </c>
      <c r="O173" s="55"/>
      <c r="P173" s="55"/>
    </row>
    <row r="174" spans="8:16" ht="25.9" customHeight="1" thickBot="1" x14ac:dyDescent="0.25">
      <c r="H174" s="29">
        <f>AEP!BF179</f>
        <v>0</v>
      </c>
      <c r="I174" s="30">
        <f>AEP!BI179</f>
        <v>0</v>
      </c>
      <c r="J174" s="31">
        <f>AEP!BM179</f>
        <v>0</v>
      </c>
      <c r="K174" s="32" t="str">
        <f>IF(AND(I174=INCERTEZA!$B$3,J174=INCERTEZA!$C$3),INCERTEZA!$D$3,IF(AND(I174=INCERTEZA!$B$4,J174=INCERTEZA!$C$4),INCERTEZA!$D$4,IF(AND(I174=INCERTEZA!$B$5,J174=INCERTEZA!$C$5),INCERTEZA!$D$5,IF(AND(I174=INCERTEZA!$B$6,J174=INCERTEZA!$C$6),INCERTEZA!$D$6,IF(AND(I174=INCERTEZA!$B$7,J174=INCERTEZA!$C$7),INCERTEZA!$D$7,IF(AND(I174=INCERTEZA!$B$8,J174=INCERTEZA!$C$8),INCERTEZA!$D$8,IF(AND(I174=INCERTEZA!$B$9,J174=INCERTEZA!$C$9),INCERTEZA!$D$9,IF(AND(I174=INCERTEZA!$B$10,J174=INCERTEZA!$C$10),INCERTEZA!$D$10,IF(AND(I174=INCERTEZA!$B$11,J174=INCERTEZA!$C$11),INCERTEZA!$D$11,IF(AND(I174=INCERTEZA!$B$12,J174=INCERTEZA!$C$12),INCERTEZA!$D$12,IF(AND(I174=INCERTEZA!$B$13,J174=INCERTEZA!$C$13),INCERTEZA!$D$13,IF(AND(I174=INCERTEZA!$B$14,J174=INCERTEZA!$C$14),INCERTEZA!$D$14,IF(AND(I174=INCERTEZA!$B$15,J174=INCERTEZA!$C$15),INCERTEZA!$D$15,IF(AND(I174=INCERTEZA!$B$16,J174=INCERTEZA!$C$16),INCERTEZA!$D$16,IF(AND(I174=INCERTEZA!$B$17,J174=INCERTEZA!$C$17),INCERTEZA!$D$17,"-")))))))))))))))</f>
        <v>-</v>
      </c>
      <c r="L174" s="33">
        <f>AEP!CX179</f>
        <v>0</v>
      </c>
      <c r="M174" s="34">
        <f>AEP!CO179</f>
        <v>0</v>
      </c>
      <c r="N174" s="55" t="b">
        <f>IF(AND(L174=monitoramento!$C$4,M174=monitoramento!$D$4),monitoramento!$E$4,IF(AND(L174=monitoramento!$C$5,M174=monitoramento!$D$5),monitoramento!$E$5,IF(AND(L174=monitoramento!$C$6,M174=monitoramento!$D$6),monitoramento!$E$6,IF(AND(L174=monitoramento!$C$7,M174=monitoramento!$D$7),monitoramento!$E$7,IF(AND(L174=monitoramento!$C$8,M174=monitoramento!$D$8),monitoramento!$E$8,IF(AND(L174=monitoramento!$C$9,M174=monitoramento!$D$9),monitoramento!$E$9,IF(AND(L174=monitoramento!$C$10,M174=monitoramento!$D$10),monitoramento!$E$10,IF(AND(L174=monitoramento!$C$11,M174=monitoramento!$D$11),monitoramento!$E$11,IF(AND(L174=monitoramento!$C$12,M174=monitoramento!$D$12),monitoramento!$E$12,IF(AND(L174=monitoramento!$C$13,M174=monitoramento!$D$13),monitoramento!$E$13,IF(AND(L174=monitoramento!$C$14,M174=monitoramento!$D$14),monitoramento!$E$14,IF(AND(L174=monitoramento!$C$15,M174=monitoramento!$D$15),monitoramento!$E$15,IF(AND(L174=monitoramento!$C$16,M174=monitoramento!$D$16),monitoramento!$E$16,IF(AND(L174=monitoramento!$C$17,M174=monitoramento!$D$17),monitoramento!$E$17,IF(AND(L174=monitoramento!$C$18,M174=monitoramento!$D$18),monitoramento!$E$18,IF(AND(L174=monitoramento!$C$19,M174=monitoramento!$D$19),monitoramento!$E$19))))))))))))))))</f>
        <v>0</v>
      </c>
      <c r="O174" s="55"/>
      <c r="P174" s="55"/>
    </row>
    <row r="175" spans="8:16" ht="25.9" customHeight="1" thickBot="1" x14ac:dyDescent="0.25">
      <c r="H175" s="29">
        <f>AEP!BF180</f>
        <v>0</v>
      </c>
      <c r="I175" s="30">
        <f>AEP!BI180</f>
        <v>0</v>
      </c>
      <c r="J175" s="31">
        <f>AEP!BM180</f>
        <v>0</v>
      </c>
      <c r="K175" s="32" t="str">
        <f>IF(AND(I175=INCERTEZA!$B$3,J175=INCERTEZA!$C$3),INCERTEZA!$D$3,IF(AND(I175=INCERTEZA!$B$4,J175=INCERTEZA!$C$4),INCERTEZA!$D$4,IF(AND(I175=INCERTEZA!$B$5,J175=INCERTEZA!$C$5),INCERTEZA!$D$5,IF(AND(I175=INCERTEZA!$B$6,J175=INCERTEZA!$C$6),INCERTEZA!$D$6,IF(AND(I175=INCERTEZA!$B$7,J175=INCERTEZA!$C$7),INCERTEZA!$D$7,IF(AND(I175=INCERTEZA!$B$8,J175=INCERTEZA!$C$8),INCERTEZA!$D$8,IF(AND(I175=INCERTEZA!$B$9,J175=INCERTEZA!$C$9),INCERTEZA!$D$9,IF(AND(I175=INCERTEZA!$B$10,J175=INCERTEZA!$C$10),INCERTEZA!$D$10,IF(AND(I175=INCERTEZA!$B$11,J175=INCERTEZA!$C$11),INCERTEZA!$D$11,IF(AND(I175=INCERTEZA!$B$12,J175=INCERTEZA!$C$12),INCERTEZA!$D$12,IF(AND(I175=INCERTEZA!$B$13,J175=INCERTEZA!$C$13),INCERTEZA!$D$13,IF(AND(I175=INCERTEZA!$B$14,J175=INCERTEZA!$C$14),INCERTEZA!$D$14,IF(AND(I175=INCERTEZA!$B$15,J175=INCERTEZA!$C$15),INCERTEZA!$D$15,IF(AND(I175=INCERTEZA!$B$16,J175=INCERTEZA!$C$16),INCERTEZA!$D$16,IF(AND(I175=INCERTEZA!$B$17,J175=INCERTEZA!$C$17),INCERTEZA!$D$17,"-")))))))))))))))</f>
        <v>-</v>
      </c>
      <c r="L175" s="33">
        <f>AEP!CX180</f>
        <v>0</v>
      </c>
      <c r="M175" s="34">
        <f>AEP!CO180</f>
        <v>0</v>
      </c>
      <c r="N175" s="55" t="b">
        <f>IF(AND(L175=monitoramento!$C$4,M175=monitoramento!$D$4),monitoramento!$E$4,IF(AND(L175=monitoramento!$C$5,M175=monitoramento!$D$5),monitoramento!$E$5,IF(AND(L175=monitoramento!$C$6,M175=monitoramento!$D$6),monitoramento!$E$6,IF(AND(L175=monitoramento!$C$7,M175=monitoramento!$D$7),monitoramento!$E$7,IF(AND(L175=monitoramento!$C$8,M175=monitoramento!$D$8),monitoramento!$E$8,IF(AND(L175=monitoramento!$C$9,M175=monitoramento!$D$9),monitoramento!$E$9,IF(AND(L175=monitoramento!$C$10,M175=monitoramento!$D$10),monitoramento!$E$10,IF(AND(L175=monitoramento!$C$11,M175=monitoramento!$D$11),monitoramento!$E$11,IF(AND(L175=monitoramento!$C$12,M175=monitoramento!$D$12),monitoramento!$E$12,IF(AND(L175=monitoramento!$C$13,M175=monitoramento!$D$13),monitoramento!$E$13,IF(AND(L175=monitoramento!$C$14,M175=monitoramento!$D$14),monitoramento!$E$14,IF(AND(L175=monitoramento!$C$15,M175=monitoramento!$D$15),monitoramento!$E$15,IF(AND(L175=monitoramento!$C$16,M175=monitoramento!$D$16),monitoramento!$E$16,IF(AND(L175=monitoramento!$C$17,M175=monitoramento!$D$17),monitoramento!$E$17,IF(AND(L175=monitoramento!$C$18,M175=monitoramento!$D$18),monitoramento!$E$18,IF(AND(L175=monitoramento!$C$19,M175=monitoramento!$D$19),monitoramento!$E$19))))))))))))))))</f>
        <v>0</v>
      </c>
      <c r="O175" s="55"/>
      <c r="P175" s="55"/>
    </row>
    <row r="176" spans="8:16" ht="25.9" customHeight="1" thickBot="1" x14ac:dyDescent="0.25">
      <c r="H176" s="29">
        <f>AEP!BF181</f>
        <v>0</v>
      </c>
      <c r="I176" s="30">
        <f>AEP!BI181</f>
        <v>0</v>
      </c>
      <c r="J176" s="31">
        <f>AEP!BM181</f>
        <v>0</v>
      </c>
      <c r="K176" s="32" t="str">
        <f>IF(AND(I176=INCERTEZA!$B$3,J176=INCERTEZA!$C$3),INCERTEZA!$D$3,IF(AND(I176=INCERTEZA!$B$4,J176=INCERTEZA!$C$4),INCERTEZA!$D$4,IF(AND(I176=INCERTEZA!$B$5,J176=INCERTEZA!$C$5),INCERTEZA!$D$5,IF(AND(I176=INCERTEZA!$B$6,J176=INCERTEZA!$C$6),INCERTEZA!$D$6,IF(AND(I176=INCERTEZA!$B$7,J176=INCERTEZA!$C$7),INCERTEZA!$D$7,IF(AND(I176=INCERTEZA!$B$8,J176=INCERTEZA!$C$8),INCERTEZA!$D$8,IF(AND(I176=INCERTEZA!$B$9,J176=INCERTEZA!$C$9),INCERTEZA!$D$9,IF(AND(I176=INCERTEZA!$B$10,J176=INCERTEZA!$C$10),INCERTEZA!$D$10,IF(AND(I176=INCERTEZA!$B$11,J176=INCERTEZA!$C$11),INCERTEZA!$D$11,IF(AND(I176=INCERTEZA!$B$12,J176=INCERTEZA!$C$12),INCERTEZA!$D$12,IF(AND(I176=INCERTEZA!$B$13,J176=INCERTEZA!$C$13),INCERTEZA!$D$13,IF(AND(I176=INCERTEZA!$B$14,J176=INCERTEZA!$C$14),INCERTEZA!$D$14,IF(AND(I176=INCERTEZA!$B$15,J176=INCERTEZA!$C$15),INCERTEZA!$D$15,IF(AND(I176=INCERTEZA!$B$16,J176=INCERTEZA!$C$16),INCERTEZA!$D$16,IF(AND(I176=INCERTEZA!$B$17,J176=INCERTEZA!$C$17),INCERTEZA!$D$17,"-")))))))))))))))</f>
        <v>-</v>
      </c>
      <c r="L176" s="33">
        <f>AEP!CX181</f>
        <v>0</v>
      </c>
      <c r="M176" s="34">
        <f>AEP!CO181</f>
        <v>0</v>
      </c>
      <c r="N176" s="55" t="b">
        <f>IF(AND(L176=monitoramento!$C$4,M176=monitoramento!$D$4),monitoramento!$E$4,IF(AND(L176=monitoramento!$C$5,M176=monitoramento!$D$5),monitoramento!$E$5,IF(AND(L176=monitoramento!$C$6,M176=monitoramento!$D$6),monitoramento!$E$6,IF(AND(L176=monitoramento!$C$7,M176=monitoramento!$D$7),monitoramento!$E$7,IF(AND(L176=monitoramento!$C$8,M176=monitoramento!$D$8),monitoramento!$E$8,IF(AND(L176=monitoramento!$C$9,M176=monitoramento!$D$9),monitoramento!$E$9,IF(AND(L176=monitoramento!$C$10,M176=monitoramento!$D$10),monitoramento!$E$10,IF(AND(L176=monitoramento!$C$11,M176=monitoramento!$D$11),monitoramento!$E$11,IF(AND(L176=monitoramento!$C$12,M176=monitoramento!$D$12),monitoramento!$E$12,IF(AND(L176=monitoramento!$C$13,M176=monitoramento!$D$13),monitoramento!$E$13,IF(AND(L176=monitoramento!$C$14,M176=monitoramento!$D$14),monitoramento!$E$14,IF(AND(L176=monitoramento!$C$15,M176=monitoramento!$D$15),monitoramento!$E$15,IF(AND(L176=monitoramento!$C$16,M176=monitoramento!$D$16),monitoramento!$E$16,IF(AND(L176=monitoramento!$C$17,M176=monitoramento!$D$17),monitoramento!$E$17,IF(AND(L176=monitoramento!$C$18,M176=monitoramento!$D$18),monitoramento!$E$18,IF(AND(L176=monitoramento!$C$19,M176=monitoramento!$D$19),monitoramento!$E$19))))))))))))))))</f>
        <v>0</v>
      </c>
      <c r="O176" s="55"/>
      <c r="P176" s="55"/>
    </row>
    <row r="177" spans="8:16" ht="25.9" customHeight="1" thickBot="1" x14ac:dyDescent="0.25">
      <c r="H177" s="29">
        <f>AEP!BF182</f>
        <v>0</v>
      </c>
      <c r="I177" s="30">
        <f>AEP!BI182</f>
        <v>0</v>
      </c>
      <c r="J177" s="31">
        <f>AEP!BM182</f>
        <v>0</v>
      </c>
      <c r="K177" s="32" t="str">
        <f>IF(AND(I177=INCERTEZA!$B$3,J177=INCERTEZA!$C$3),INCERTEZA!$D$3,IF(AND(I177=INCERTEZA!$B$4,J177=INCERTEZA!$C$4),INCERTEZA!$D$4,IF(AND(I177=INCERTEZA!$B$5,J177=INCERTEZA!$C$5),INCERTEZA!$D$5,IF(AND(I177=INCERTEZA!$B$6,J177=INCERTEZA!$C$6),INCERTEZA!$D$6,IF(AND(I177=INCERTEZA!$B$7,J177=INCERTEZA!$C$7),INCERTEZA!$D$7,IF(AND(I177=INCERTEZA!$B$8,J177=INCERTEZA!$C$8),INCERTEZA!$D$8,IF(AND(I177=INCERTEZA!$B$9,J177=INCERTEZA!$C$9),INCERTEZA!$D$9,IF(AND(I177=INCERTEZA!$B$10,J177=INCERTEZA!$C$10),INCERTEZA!$D$10,IF(AND(I177=INCERTEZA!$B$11,J177=INCERTEZA!$C$11),INCERTEZA!$D$11,IF(AND(I177=INCERTEZA!$B$12,J177=INCERTEZA!$C$12),INCERTEZA!$D$12,IF(AND(I177=INCERTEZA!$B$13,J177=INCERTEZA!$C$13),INCERTEZA!$D$13,IF(AND(I177=INCERTEZA!$B$14,J177=INCERTEZA!$C$14),INCERTEZA!$D$14,IF(AND(I177=INCERTEZA!$B$15,J177=INCERTEZA!$C$15),INCERTEZA!$D$15,IF(AND(I177=INCERTEZA!$B$16,J177=INCERTEZA!$C$16),INCERTEZA!$D$16,IF(AND(I177=INCERTEZA!$B$17,J177=INCERTEZA!$C$17),INCERTEZA!$D$17,"-")))))))))))))))</f>
        <v>-</v>
      </c>
      <c r="L177" s="33">
        <f>AEP!CX182</f>
        <v>0</v>
      </c>
      <c r="M177" s="34">
        <f>AEP!CO182</f>
        <v>0</v>
      </c>
      <c r="N177" s="55" t="b">
        <f>IF(AND(L177=monitoramento!$C$4,M177=monitoramento!$D$4),monitoramento!$E$4,IF(AND(L177=monitoramento!$C$5,M177=monitoramento!$D$5),monitoramento!$E$5,IF(AND(L177=monitoramento!$C$6,M177=monitoramento!$D$6),monitoramento!$E$6,IF(AND(L177=monitoramento!$C$7,M177=monitoramento!$D$7),monitoramento!$E$7,IF(AND(L177=monitoramento!$C$8,M177=monitoramento!$D$8),monitoramento!$E$8,IF(AND(L177=monitoramento!$C$9,M177=monitoramento!$D$9),monitoramento!$E$9,IF(AND(L177=monitoramento!$C$10,M177=monitoramento!$D$10),monitoramento!$E$10,IF(AND(L177=monitoramento!$C$11,M177=monitoramento!$D$11),monitoramento!$E$11,IF(AND(L177=monitoramento!$C$12,M177=monitoramento!$D$12),monitoramento!$E$12,IF(AND(L177=monitoramento!$C$13,M177=monitoramento!$D$13),monitoramento!$E$13,IF(AND(L177=monitoramento!$C$14,M177=monitoramento!$D$14),monitoramento!$E$14,IF(AND(L177=monitoramento!$C$15,M177=monitoramento!$D$15),monitoramento!$E$15,IF(AND(L177=monitoramento!$C$16,M177=monitoramento!$D$16),monitoramento!$E$16,IF(AND(L177=monitoramento!$C$17,M177=monitoramento!$D$17),monitoramento!$E$17,IF(AND(L177=monitoramento!$C$18,M177=monitoramento!$D$18),monitoramento!$E$18,IF(AND(L177=monitoramento!$C$19,M177=monitoramento!$D$19),monitoramento!$E$19))))))))))))))))</f>
        <v>0</v>
      </c>
      <c r="O177" s="55"/>
      <c r="P177" s="55"/>
    </row>
    <row r="178" spans="8:16" ht="25.9" customHeight="1" thickBot="1" x14ac:dyDescent="0.25">
      <c r="H178" s="29">
        <f>AEP!BF183</f>
        <v>0</v>
      </c>
      <c r="I178" s="30">
        <f>AEP!BI183</f>
        <v>0</v>
      </c>
      <c r="J178" s="31">
        <f>AEP!BM183</f>
        <v>0</v>
      </c>
      <c r="K178" s="32" t="str">
        <f>IF(AND(I178=INCERTEZA!$B$3,J178=INCERTEZA!$C$3),INCERTEZA!$D$3,IF(AND(I178=INCERTEZA!$B$4,J178=INCERTEZA!$C$4),INCERTEZA!$D$4,IF(AND(I178=INCERTEZA!$B$5,J178=INCERTEZA!$C$5),INCERTEZA!$D$5,IF(AND(I178=INCERTEZA!$B$6,J178=INCERTEZA!$C$6),INCERTEZA!$D$6,IF(AND(I178=INCERTEZA!$B$7,J178=INCERTEZA!$C$7),INCERTEZA!$D$7,IF(AND(I178=INCERTEZA!$B$8,J178=INCERTEZA!$C$8),INCERTEZA!$D$8,IF(AND(I178=INCERTEZA!$B$9,J178=INCERTEZA!$C$9),INCERTEZA!$D$9,IF(AND(I178=INCERTEZA!$B$10,J178=INCERTEZA!$C$10),INCERTEZA!$D$10,IF(AND(I178=INCERTEZA!$B$11,J178=INCERTEZA!$C$11),INCERTEZA!$D$11,IF(AND(I178=INCERTEZA!$B$12,J178=INCERTEZA!$C$12),INCERTEZA!$D$12,IF(AND(I178=INCERTEZA!$B$13,J178=INCERTEZA!$C$13),INCERTEZA!$D$13,IF(AND(I178=INCERTEZA!$B$14,J178=INCERTEZA!$C$14),INCERTEZA!$D$14,IF(AND(I178=INCERTEZA!$B$15,J178=INCERTEZA!$C$15),INCERTEZA!$D$15,IF(AND(I178=INCERTEZA!$B$16,J178=INCERTEZA!$C$16),INCERTEZA!$D$16,IF(AND(I178=INCERTEZA!$B$17,J178=INCERTEZA!$C$17),INCERTEZA!$D$17,"-")))))))))))))))</f>
        <v>-</v>
      </c>
      <c r="L178" s="33">
        <f>AEP!CX183</f>
        <v>0</v>
      </c>
      <c r="M178" s="34">
        <f>AEP!CO183</f>
        <v>0</v>
      </c>
      <c r="N178" s="55" t="b">
        <f>IF(AND(L178=monitoramento!$C$4,M178=monitoramento!$D$4),monitoramento!$E$4,IF(AND(L178=monitoramento!$C$5,M178=monitoramento!$D$5),monitoramento!$E$5,IF(AND(L178=monitoramento!$C$6,M178=monitoramento!$D$6),monitoramento!$E$6,IF(AND(L178=monitoramento!$C$7,M178=monitoramento!$D$7),monitoramento!$E$7,IF(AND(L178=monitoramento!$C$8,M178=monitoramento!$D$8),monitoramento!$E$8,IF(AND(L178=monitoramento!$C$9,M178=monitoramento!$D$9),monitoramento!$E$9,IF(AND(L178=monitoramento!$C$10,M178=monitoramento!$D$10),monitoramento!$E$10,IF(AND(L178=monitoramento!$C$11,M178=monitoramento!$D$11),monitoramento!$E$11,IF(AND(L178=monitoramento!$C$12,M178=monitoramento!$D$12),monitoramento!$E$12,IF(AND(L178=monitoramento!$C$13,M178=monitoramento!$D$13),monitoramento!$E$13,IF(AND(L178=monitoramento!$C$14,M178=monitoramento!$D$14),monitoramento!$E$14,IF(AND(L178=monitoramento!$C$15,M178=monitoramento!$D$15),monitoramento!$E$15,IF(AND(L178=monitoramento!$C$16,M178=monitoramento!$D$16),monitoramento!$E$16,IF(AND(L178=monitoramento!$C$17,M178=monitoramento!$D$17),monitoramento!$E$17,IF(AND(L178=monitoramento!$C$18,M178=monitoramento!$D$18),monitoramento!$E$18,IF(AND(L178=monitoramento!$C$19,M178=monitoramento!$D$19),monitoramento!$E$19))))))))))))))))</f>
        <v>0</v>
      </c>
      <c r="O178" s="55"/>
      <c r="P178" s="55"/>
    </row>
    <row r="179" spans="8:16" ht="25.9" customHeight="1" thickBot="1" x14ac:dyDescent="0.25">
      <c r="H179" s="29">
        <f>AEP!BF184</f>
        <v>0</v>
      </c>
      <c r="I179" s="30">
        <f>AEP!BI184</f>
        <v>0</v>
      </c>
      <c r="J179" s="31">
        <f>AEP!BM184</f>
        <v>0</v>
      </c>
      <c r="K179" s="32" t="str">
        <f>IF(AND(I179=INCERTEZA!$B$3,J179=INCERTEZA!$C$3),INCERTEZA!$D$3,IF(AND(I179=INCERTEZA!$B$4,J179=INCERTEZA!$C$4),INCERTEZA!$D$4,IF(AND(I179=INCERTEZA!$B$5,J179=INCERTEZA!$C$5),INCERTEZA!$D$5,IF(AND(I179=INCERTEZA!$B$6,J179=INCERTEZA!$C$6),INCERTEZA!$D$6,IF(AND(I179=INCERTEZA!$B$7,J179=INCERTEZA!$C$7),INCERTEZA!$D$7,IF(AND(I179=INCERTEZA!$B$8,J179=INCERTEZA!$C$8),INCERTEZA!$D$8,IF(AND(I179=INCERTEZA!$B$9,J179=INCERTEZA!$C$9),INCERTEZA!$D$9,IF(AND(I179=INCERTEZA!$B$10,J179=INCERTEZA!$C$10),INCERTEZA!$D$10,IF(AND(I179=INCERTEZA!$B$11,J179=INCERTEZA!$C$11),INCERTEZA!$D$11,IF(AND(I179=INCERTEZA!$B$12,J179=INCERTEZA!$C$12),INCERTEZA!$D$12,IF(AND(I179=INCERTEZA!$B$13,J179=INCERTEZA!$C$13),INCERTEZA!$D$13,IF(AND(I179=INCERTEZA!$B$14,J179=INCERTEZA!$C$14),INCERTEZA!$D$14,IF(AND(I179=INCERTEZA!$B$15,J179=INCERTEZA!$C$15),INCERTEZA!$D$15,IF(AND(I179=INCERTEZA!$B$16,J179=INCERTEZA!$C$16),INCERTEZA!$D$16,IF(AND(I179=INCERTEZA!$B$17,J179=INCERTEZA!$C$17),INCERTEZA!$D$17,"-")))))))))))))))</f>
        <v>-</v>
      </c>
      <c r="L179" s="33">
        <f>AEP!CX184</f>
        <v>0</v>
      </c>
      <c r="M179" s="34">
        <f>AEP!CO184</f>
        <v>0</v>
      </c>
      <c r="N179" s="55" t="b">
        <f>IF(AND(L179=monitoramento!$C$4,M179=monitoramento!$D$4),monitoramento!$E$4,IF(AND(L179=monitoramento!$C$5,M179=monitoramento!$D$5),monitoramento!$E$5,IF(AND(L179=monitoramento!$C$6,M179=monitoramento!$D$6),monitoramento!$E$6,IF(AND(L179=monitoramento!$C$7,M179=monitoramento!$D$7),monitoramento!$E$7,IF(AND(L179=monitoramento!$C$8,M179=monitoramento!$D$8),monitoramento!$E$8,IF(AND(L179=monitoramento!$C$9,M179=monitoramento!$D$9),monitoramento!$E$9,IF(AND(L179=monitoramento!$C$10,M179=monitoramento!$D$10),monitoramento!$E$10,IF(AND(L179=monitoramento!$C$11,M179=monitoramento!$D$11),monitoramento!$E$11,IF(AND(L179=monitoramento!$C$12,M179=monitoramento!$D$12),monitoramento!$E$12,IF(AND(L179=monitoramento!$C$13,M179=monitoramento!$D$13),monitoramento!$E$13,IF(AND(L179=monitoramento!$C$14,M179=monitoramento!$D$14),monitoramento!$E$14,IF(AND(L179=monitoramento!$C$15,M179=monitoramento!$D$15),monitoramento!$E$15,IF(AND(L179=monitoramento!$C$16,M179=monitoramento!$D$16),monitoramento!$E$16,IF(AND(L179=monitoramento!$C$17,M179=monitoramento!$D$17),monitoramento!$E$17,IF(AND(L179=monitoramento!$C$18,M179=monitoramento!$D$18),monitoramento!$E$18,IF(AND(L179=monitoramento!$C$19,M179=monitoramento!$D$19),monitoramento!$E$19))))))))))))))))</f>
        <v>0</v>
      </c>
      <c r="O179" s="55"/>
      <c r="P179" s="55"/>
    </row>
    <row r="180" spans="8:16" ht="25.9" customHeight="1" thickBot="1" x14ac:dyDescent="0.25">
      <c r="H180" s="29">
        <f>AEP!BF185</f>
        <v>0</v>
      </c>
      <c r="I180" s="30">
        <f>AEP!BI185</f>
        <v>0</v>
      </c>
      <c r="J180" s="31">
        <f>AEP!BM185</f>
        <v>0</v>
      </c>
      <c r="K180" s="32" t="str">
        <f>IF(AND(I180=INCERTEZA!$B$3,J180=INCERTEZA!$C$3),INCERTEZA!$D$3,IF(AND(I180=INCERTEZA!$B$4,J180=INCERTEZA!$C$4),INCERTEZA!$D$4,IF(AND(I180=INCERTEZA!$B$5,J180=INCERTEZA!$C$5),INCERTEZA!$D$5,IF(AND(I180=INCERTEZA!$B$6,J180=INCERTEZA!$C$6),INCERTEZA!$D$6,IF(AND(I180=INCERTEZA!$B$7,J180=INCERTEZA!$C$7),INCERTEZA!$D$7,IF(AND(I180=INCERTEZA!$B$8,J180=INCERTEZA!$C$8),INCERTEZA!$D$8,IF(AND(I180=INCERTEZA!$B$9,J180=INCERTEZA!$C$9),INCERTEZA!$D$9,IF(AND(I180=INCERTEZA!$B$10,J180=INCERTEZA!$C$10),INCERTEZA!$D$10,IF(AND(I180=INCERTEZA!$B$11,J180=INCERTEZA!$C$11),INCERTEZA!$D$11,IF(AND(I180=INCERTEZA!$B$12,J180=INCERTEZA!$C$12),INCERTEZA!$D$12,IF(AND(I180=INCERTEZA!$B$13,J180=INCERTEZA!$C$13),INCERTEZA!$D$13,IF(AND(I180=INCERTEZA!$B$14,J180=INCERTEZA!$C$14),INCERTEZA!$D$14,IF(AND(I180=INCERTEZA!$B$15,J180=INCERTEZA!$C$15),INCERTEZA!$D$15,IF(AND(I180=INCERTEZA!$B$16,J180=INCERTEZA!$C$16),INCERTEZA!$D$16,IF(AND(I180=INCERTEZA!$B$17,J180=INCERTEZA!$C$17),INCERTEZA!$D$17,"-")))))))))))))))</f>
        <v>-</v>
      </c>
      <c r="L180" s="33">
        <f>AEP!CX185</f>
        <v>0</v>
      </c>
      <c r="M180" s="34">
        <f>AEP!CO185</f>
        <v>0</v>
      </c>
      <c r="N180" s="55" t="b">
        <f>IF(AND(L180=monitoramento!$C$4,M180=monitoramento!$D$4),monitoramento!$E$4,IF(AND(L180=monitoramento!$C$5,M180=monitoramento!$D$5),monitoramento!$E$5,IF(AND(L180=monitoramento!$C$6,M180=monitoramento!$D$6),monitoramento!$E$6,IF(AND(L180=monitoramento!$C$7,M180=monitoramento!$D$7),monitoramento!$E$7,IF(AND(L180=monitoramento!$C$8,M180=monitoramento!$D$8),monitoramento!$E$8,IF(AND(L180=monitoramento!$C$9,M180=monitoramento!$D$9),monitoramento!$E$9,IF(AND(L180=monitoramento!$C$10,M180=monitoramento!$D$10),monitoramento!$E$10,IF(AND(L180=monitoramento!$C$11,M180=monitoramento!$D$11),monitoramento!$E$11,IF(AND(L180=monitoramento!$C$12,M180=monitoramento!$D$12),monitoramento!$E$12,IF(AND(L180=monitoramento!$C$13,M180=monitoramento!$D$13),monitoramento!$E$13,IF(AND(L180=monitoramento!$C$14,M180=monitoramento!$D$14),monitoramento!$E$14,IF(AND(L180=monitoramento!$C$15,M180=monitoramento!$D$15),monitoramento!$E$15,IF(AND(L180=monitoramento!$C$16,M180=monitoramento!$D$16),monitoramento!$E$16,IF(AND(L180=monitoramento!$C$17,M180=monitoramento!$D$17),monitoramento!$E$17,IF(AND(L180=monitoramento!$C$18,M180=monitoramento!$D$18),monitoramento!$E$18,IF(AND(L180=monitoramento!$C$19,M180=monitoramento!$D$19),monitoramento!$E$19))))))))))))))))</f>
        <v>0</v>
      </c>
      <c r="O180" s="55"/>
      <c r="P180" s="55"/>
    </row>
    <row r="181" spans="8:16" ht="25.9" customHeight="1" thickBot="1" x14ac:dyDescent="0.25">
      <c r="H181" s="29">
        <f>AEP!BF186</f>
        <v>0</v>
      </c>
      <c r="I181" s="30">
        <f>AEP!BI186</f>
        <v>0</v>
      </c>
      <c r="J181" s="31">
        <f>AEP!BM186</f>
        <v>0</v>
      </c>
      <c r="K181" s="32" t="str">
        <f>IF(AND(I181=INCERTEZA!$B$3,J181=INCERTEZA!$C$3),INCERTEZA!$D$3,IF(AND(I181=INCERTEZA!$B$4,J181=INCERTEZA!$C$4),INCERTEZA!$D$4,IF(AND(I181=INCERTEZA!$B$5,J181=INCERTEZA!$C$5),INCERTEZA!$D$5,IF(AND(I181=INCERTEZA!$B$6,J181=INCERTEZA!$C$6),INCERTEZA!$D$6,IF(AND(I181=INCERTEZA!$B$7,J181=INCERTEZA!$C$7),INCERTEZA!$D$7,IF(AND(I181=INCERTEZA!$B$8,J181=INCERTEZA!$C$8),INCERTEZA!$D$8,IF(AND(I181=INCERTEZA!$B$9,J181=INCERTEZA!$C$9),INCERTEZA!$D$9,IF(AND(I181=INCERTEZA!$B$10,J181=INCERTEZA!$C$10),INCERTEZA!$D$10,IF(AND(I181=INCERTEZA!$B$11,J181=INCERTEZA!$C$11),INCERTEZA!$D$11,IF(AND(I181=INCERTEZA!$B$12,J181=INCERTEZA!$C$12),INCERTEZA!$D$12,IF(AND(I181=INCERTEZA!$B$13,J181=INCERTEZA!$C$13),INCERTEZA!$D$13,IF(AND(I181=INCERTEZA!$B$14,J181=INCERTEZA!$C$14),INCERTEZA!$D$14,IF(AND(I181=INCERTEZA!$B$15,J181=INCERTEZA!$C$15),INCERTEZA!$D$15,IF(AND(I181=INCERTEZA!$B$16,J181=INCERTEZA!$C$16),INCERTEZA!$D$16,IF(AND(I181=INCERTEZA!$B$17,J181=INCERTEZA!$C$17),INCERTEZA!$D$17,"-")))))))))))))))</f>
        <v>-</v>
      </c>
      <c r="L181" s="33">
        <f>AEP!CX186</f>
        <v>0</v>
      </c>
      <c r="M181" s="34">
        <f>AEP!CO186</f>
        <v>0</v>
      </c>
      <c r="N181" s="55" t="b">
        <f>IF(AND(L181=monitoramento!$C$4,M181=monitoramento!$D$4),monitoramento!$E$4,IF(AND(L181=monitoramento!$C$5,M181=monitoramento!$D$5),monitoramento!$E$5,IF(AND(L181=monitoramento!$C$6,M181=monitoramento!$D$6),monitoramento!$E$6,IF(AND(L181=monitoramento!$C$7,M181=monitoramento!$D$7),monitoramento!$E$7,IF(AND(L181=monitoramento!$C$8,M181=monitoramento!$D$8),monitoramento!$E$8,IF(AND(L181=monitoramento!$C$9,M181=monitoramento!$D$9),monitoramento!$E$9,IF(AND(L181=monitoramento!$C$10,M181=monitoramento!$D$10),monitoramento!$E$10,IF(AND(L181=monitoramento!$C$11,M181=monitoramento!$D$11),monitoramento!$E$11,IF(AND(L181=monitoramento!$C$12,M181=monitoramento!$D$12),monitoramento!$E$12,IF(AND(L181=monitoramento!$C$13,M181=monitoramento!$D$13),monitoramento!$E$13,IF(AND(L181=monitoramento!$C$14,M181=monitoramento!$D$14),monitoramento!$E$14,IF(AND(L181=monitoramento!$C$15,M181=monitoramento!$D$15),monitoramento!$E$15,IF(AND(L181=monitoramento!$C$16,M181=monitoramento!$D$16),monitoramento!$E$16,IF(AND(L181=monitoramento!$C$17,M181=monitoramento!$D$17),monitoramento!$E$17,IF(AND(L181=monitoramento!$C$18,M181=monitoramento!$D$18),monitoramento!$E$18,IF(AND(L181=monitoramento!$C$19,M181=monitoramento!$D$19),monitoramento!$E$19))))))))))))))))</f>
        <v>0</v>
      </c>
      <c r="O181" s="55"/>
      <c r="P181" s="55"/>
    </row>
    <row r="182" spans="8:16" ht="25.9" customHeight="1" thickBot="1" x14ac:dyDescent="0.25">
      <c r="H182" s="29">
        <f>AEP!BF187</f>
        <v>0</v>
      </c>
      <c r="I182" s="30">
        <f>AEP!BI187</f>
        <v>0</v>
      </c>
      <c r="J182" s="31">
        <f>AEP!BM187</f>
        <v>0</v>
      </c>
      <c r="K182" s="32" t="str">
        <f>IF(AND(I182=INCERTEZA!$B$3,J182=INCERTEZA!$C$3),INCERTEZA!$D$3,IF(AND(I182=INCERTEZA!$B$4,J182=INCERTEZA!$C$4),INCERTEZA!$D$4,IF(AND(I182=INCERTEZA!$B$5,J182=INCERTEZA!$C$5),INCERTEZA!$D$5,IF(AND(I182=INCERTEZA!$B$6,J182=INCERTEZA!$C$6),INCERTEZA!$D$6,IF(AND(I182=INCERTEZA!$B$7,J182=INCERTEZA!$C$7),INCERTEZA!$D$7,IF(AND(I182=INCERTEZA!$B$8,J182=INCERTEZA!$C$8),INCERTEZA!$D$8,IF(AND(I182=INCERTEZA!$B$9,J182=INCERTEZA!$C$9),INCERTEZA!$D$9,IF(AND(I182=INCERTEZA!$B$10,J182=INCERTEZA!$C$10),INCERTEZA!$D$10,IF(AND(I182=INCERTEZA!$B$11,J182=INCERTEZA!$C$11),INCERTEZA!$D$11,IF(AND(I182=INCERTEZA!$B$12,J182=INCERTEZA!$C$12),INCERTEZA!$D$12,IF(AND(I182=INCERTEZA!$B$13,J182=INCERTEZA!$C$13),INCERTEZA!$D$13,IF(AND(I182=INCERTEZA!$B$14,J182=INCERTEZA!$C$14),INCERTEZA!$D$14,IF(AND(I182=INCERTEZA!$B$15,J182=INCERTEZA!$C$15),INCERTEZA!$D$15,IF(AND(I182=INCERTEZA!$B$16,J182=INCERTEZA!$C$16),INCERTEZA!$D$16,IF(AND(I182=INCERTEZA!$B$17,J182=INCERTEZA!$C$17),INCERTEZA!$D$17,"-")))))))))))))))</f>
        <v>-</v>
      </c>
      <c r="L182" s="33">
        <f>AEP!CX187</f>
        <v>0</v>
      </c>
      <c r="M182" s="34">
        <f>AEP!CO187</f>
        <v>0</v>
      </c>
      <c r="N182" s="55" t="b">
        <f>IF(AND(L182=monitoramento!$C$4,M182=monitoramento!$D$4),monitoramento!$E$4,IF(AND(L182=monitoramento!$C$5,M182=monitoramento!$D$5),monitoramento!$E$5,IF(AND(L182=monitoramento!$C$6,M182=monitoramento!$D$6),monitoramento!$E$6,IF(AND(L182=monitoramento!$C$7,M182=monitoramento!$D$7),monitoramento!$E$7,IF(AND(L182=monitoramento!$C$8,M182=monitoramento!$D$8),monitoramento!$E$8,IF(AND(L182=monitoramento!$C$9,M182=monitoramento!$D$9),monitoramento!$E$9,IF(AND(L182=monitoramento!$C$10,M182=monitoramento!$D$10),monitoramento!$E$10,IF(AND(L182=monitoramento!$C$11,M182=monitoramento!$D$11),monitoramento!$E$11,IF(AND(L182=monitoramento!$C$12,M182=monitoramento!$D$12),monitoramento!$E$12,IF(AND(L182=monitoramento!$C$13,M182=monitoramento!$D$13),monitoramento!$E$13,IF(AND(L182=monitoramento!$C$14,M182=monitoramento!$D$14),monitoramento!$E$14,IF(AND(L182=monitoramento!$C$15,M182=monitoramento!$D$15),monitoramento!$E$15,IF(AND(L182=monitoramento!$C$16,M182=monitoramento!$D$16),monitoramento!$E$16,IF(AND(L182=monitoramento!$C$17,M182=monitoramento!$D$17),monitoramento!$E$17,IF(AND(L182=monitoramento!$C$18,M182=monitoramento!$D$18),monitoramento!$E$18,IF(AND(L182=monitoramento!$C$19,M182=monitoramento!$D$19),monitoramento!$E$19))))))))))))))))</f>
        <v>0</v>
      </c>
      <c r="O182" s="55"/>
      <c r="P182" s="55"/>
    </row>
    <row r="183" spans="8:16" ht="15" thickBot="1" x14ac:dyDescent="0.25">
      <c r="H183" s="29">
        <f>AEP!BF188</f>
        <v>0</v>
      </c>
      <c r="I183" s="30">
        <f>AEP!BI188</f>
        <v>0</v>
      </c>
      <c r="J183" s="31">
        <f>AEP!BM188</f>
        <v>0</v>
      </c>
      <c r="K183" s="32" t="str">
        <f>IF(AND(I183=INCERTEZA!$B$3,J183=INCERTEZA!$C$3),INCERTEZA!$D$3,IF(AND(I183=INCERTEZA!$B$4,J183=INCERTEZA!$C$4),INCERTEZA!$D$4,IF(AND(I183=INCERTEZA!$B$5,J183=INCERTEZA!$C$5),INCERTEZA!$D$5,IF(AND(I183=INCERTEZA!$B$6,J183=INCERTEZA!$C$6),INCERTEZA!$D$6,IF(AND(I183=INCERTEZA!$B$7,J183=INCERTEZA!$C$7),INCERTEZA!$D$7,IF(AND(I183=INCERTEZA!$B$8,J183=INCERTEZA!$C$8),INCERTEZA!$D$8,IF(AND(I183=INCERTEZA!$B$9,J183=INCERTEZA!$C$9),INCERTEZA!$D$9,IF(AND(I183=INCERTEZA!$B$10,J183=INCERTEZA!$C$10),INCERTEZA!$D$10,IF(AND(I183=INCERTEZA!$B$11,J183=INCERTEZA!$C$11),INCERTEZA!$D$11,IF(AND(I183=INCERTEZA!$B$12,J183=INCERTEZA!$C$12),INCERTEZA!$D$12,IF(AND(I183=INCERTEZA!$B$13,J183=INCERTEZA!$C$13),INCERTEZA!$D$13,IF(AND(I183=INCERTEZA!$B$14,J183=INCERTEZA!$C$14),INCERTEZA!$D$14,IF(AND(I183=INCERTEZA!$B$15,J183=INCERTEZA!$C$15),INCERTEZA!$D$15,IF(AND(I183=INCERTEZA!$B$16,J183=INCERTEZA!$C$16),INCERTEZA!$D$16,IF(AND(I183=INCERTEZA!$B$17,J183=INCERTEZA!$C$17),INCERTEZA!$D$17,"-")))))))))))))))</f>
        <v>-</v>
      </c>
      <c r="L183" s="33">
        <f>AEP!CX188</f>
        <v>0</v>
      </c>
      <c r="M183" s="34">
        <f>AEP!CO188</f>
        <v>0</v>
      </c>
      <c r="N183" s="55" t="b">
        <f>IF(AND(L183=monitoramento!$C$4,M183=monitoramento!$D$4),monitoramento!$E$4,IF(AND(L183=monitoramento!$C$5,M183=monitoramento!$D$5),monitoramento!$E$5,IF(AND(L183=monitoramento!$C$6,M183=monitoramento!$D$6),monitoramento!$E$6,IF(AND(L183=monitoramento!$C$7,M183=monitoramento!$D$7),monitoramento!$E$7,IF(AND(L183=monitoramento!$C$8,M183=monitoramento!$D$8),monitoramento!$E$8,IF(AND(L183=monitoramento!$C$9,M183=monitoramento!$D$9),monitoramento!$E$9,IF(AND(L183=monitoramento!$C$10,M183=monitoramento!$D$10),monitoramento!$E$10,IF(AND(L183=monitoramento!$C$11,M183=monitoramento!$D$11),monitoramento!$E$11,IF(AND(L183=monitoramento!$C$12,M183=monitoramento!$D$12),monitoramento!$E$12,IF(AND(L183=monitoramento!$C$13,M183=monitoramento!$D$13),monitoramento!$E$13,IF(AND(L183=monitoramento!$C$14,M183=monitoramento!$D$14),monitoramento!$E$14,IF(AND(L183=monitoramento!$C$15,M183=monitoramento!$D$15),monitoramento!$E$15,IF(AND(L183=monitoramento!$C$16,M183=monitoramento!$D$16),monitoramento!$E$16,IF(AND(L183=monitoramento!$C$17,M183=monitoramento!$D$17),monitoramento!$E$17,IF(AND(L183=monitoramento!$C$18,M183=monitoramento!$D$18),monitoramento!$E$18,IF(AND(L183=monitoramento!$C$19,M183=monitoramento!$D$19),monitoramento!$E$19))))))))))))))))</f>
        <v>0</v>
      </c>
      <c r="O183" s="55"/>
      <c r="P183" s="55"/>
    </row>
  </sheetData>
  <mergeCells count="3">
    <mergeCell ref="J2:K2"/>
    <mergeCell ref="L2:N2"/>
    <mergeCell ref="O3:P3"/>
  </mergeCells>
  <conditionalFormatting sqref="I4:K183">
    <cfRule type="containsText" dxfId="26" priority="17" operator="containsText" text="IRRELEVANTE">
      <formula>NOT(ISERROR(SEARCH("IRRELEVANTE",I4)))</formula>
    </cfRule>
    <cfRule type="containsText" dxfId="25" priority="18" operator="containsText" text="CRÍTICO">
      <formula>NOT(ISERROR(SEARCH("CRÍTICO",I4)))</formula>
    </cfRule>
    <cfRule type="containsText" dxfId="24" priority="19" operator="containsText" text="ALTO">
      <formula>NOT(ISERROR(SEARCH("ALTO",I4)))</formula>
    </cfRule>
    <cfRule type="containsText" dxfId="23" priority="20" operator="containsText" text="MÉDIO">
      <formula>NOT(ISERROR(SEARCH("MÉDIO",I4)))</formula>
    </cfRule>
    <cfRule type="containsText" dxfId="22" priority="21" operator="containsText" text="BAIXO">
      <formula>NOT(ISERROR(SEARCH("BAIXO",I4)))</formula>
    </cfRule>
  </conditionalFormatting>
  <conditionalFormatting sqref="N4:N6 N8:N183">
    <cfRule type="containsText" dxfId="21" priority="22" operator="containsText" text="TRIMESTRAL (P1)">
      <formula>NOT(ISERROR(SEARCH("TRIMESTRAL (P1)",N4)))</formula>
    </cfRule>
    <cfRule type="containsText" dxfId="20" priority="23" operator="containsText" text="MONITORAMENTO PERIÓDICO NÃO NECESSÁRIO">
      <formula>NOT(ISERROR(SEARCH("MONITORAMENTO PERIÓDICO NÃO NECESSÁRIO",N4)))</formula>
    </cfRule>
    <cfRule type="containsText" dxfId="19" priority="24" operator="containsText" text="MONITORAR APÓS ADOTAR MEDIDAS DE CONTROLE (P1)">
      <formula>NOT(ISERROR(SEARCH("MONITORAR APÓS ADOTAR MEDIDAS DE CONTROLE (P1)",N4)))</formula>
    </cfRule>
    <cfRule type="containsText" dxfId="18" priority="25" operator="containsText" text="SEMESTRAL (P1)">
      <formula>NOT(ISERROR(SEARCH("SEMESTRAL (P1)",N4)))</formula>
    </cfRule>
    <cfRule type="containsText" dxfId="17" priority="26" operator="containsText" text="ANUAL (P2)">
      <formula>NOT(ISERROR(SEARCH("ANUAL (P2)",N4)))</formula>
    </cfRule>
    <cfRule type="containsText" dxfId="16" priority="27" operator="containsText" text="ANUAL (P1)">
      <formula>NOT(ISERROR(SEARCH("ANUAL (P1)",N4)))</formula>
    </cfRule>
  </conditionalFormatting>
  <conditionalFormatting sqref="N4:N183">
    <cfRule type="containsText" dxfId="15" priority="6" operator="containsText" text="TRIMESTRAL (P1)">
      <formula>NOT(ISERROR(SEARCH("TRIMESTRAL (P1)",N4)))</formula>
    </cfRule>
    <cfRule type="containsText" dxfId="14" priority="7" operator="containsText" text="MONITORAMENTO PERIÓDICO NÃO NECESSÁRIO">
      <formula>NOT(ISERROR(SEARCH("MONITORAMENTO PERIÓDICO NÃO NECESSÁRIO",N4)))</formula>
    </cfRule>
    <cfRule type="containsText" dxfId="13" priority="8" operator="containsText" text="MONITORAR E MANTER CONTROLE (P1)">
      <formula>NOT(ISERROR(SEARCH("MONITORAR E MANTER CONTROLE (P1)",N4)))</formula>
    </cfRule>
    <cfRule type="containsText" dxfId="12" priority="9" operator="containsText" text="SEMESTRAL (P1)">
      <formula>NOT(ISERROR(SEARCH("SEMESTRAL (P1)",N4)))</formula>
    </cfRule>
    <cfRule type="containsText" dxfId="11" priority="10" operator="containsText" text="ANUAL (P2)">
      <formula>NOT(ISERROR(SEARCH("ANUAL (P2)",N4)))</formula>
    </cfRule>
    <cfRule type="containsText" dxfId="10" priority="11" operator="containsText" text="ANUAL (P1)">
      <formula>NOT(ISERROR(SEARCH("ANUAL (P1)",N4)))</formula>
    </cfRule>
  </conditionalFormatting>
  <conditionalFormatting sqref="N4:O4 N5:P183">
    <cfRule type="containsText" dxfId="9" priority="4" operator="containsText" text="MONITORAR IMEDIATAMENTE APÓS ADOTAR MEDIDAS DE CONTROLE (P1)">
      <formula>NOT(ISERROR(SEARCH("MONITORAR IMEDIATAMENTE APÓS ADOTAR MEDIDAS DE CONTROLE (P1)",N4)))</formula>
    </cfRule>
    <cfRule type="containsText" dxfId="8" priority="5" operator="containsText" text="MONITORAR APÓS ADOTAR MEDIDAS DE CONTROLE (P1)">
      <formula>NOT(ISERROR(SEARCH("MONITORAR APÓS ADOTAR MEDIDAS DE CONTROLE (P1)",N4)))</formula>
    </cfRule>
  </conditionalFormatting>
  <conditionalFormatting sqref="P4">
    <cfRule type="containsText" dxfId="7" priority="1" operator="containsText" text="RUIM">
      <formula>NOT(ISERROR(SEARCH("RUIM",P4)))</formula>
    </cfRule>
    <cfRule type="containsText" dxfId="6" priority="2" operator="containsText" text="REGULAR">
      <formula>NOT(ISERROR(SEARCH("REGULAR",P4)))</formula>
    </cfRule>
    <cfRule type="containsText" dxfId="5" priority="3" operator="containsText" text="BOA">
      <formula>NOT(ISERROR(SEARCH("BOA",P4)))</formula>
    </cfRule>
  </conditionalFormatting>
  <dataValidations count="2">
    <dataValidation type="list" allowBlank="1" showInputMessage="1" showErrorMessage="1" sqref="A4" xr:uid="{30A6F239-6162-435A-BECC-060268414267}">
      <formula1>"FÍSICO,QUÍMICO,BIOLÓGICO,ACIDENTE,ERGONÔMICO"</formula1>
    </dataValidation>
    <dataValidation type="list" allowBlank="1" showInputMessage="1" showErrorMessage="1" sqref="C4" xr:uid="{2B42BFE7-1F54-4CAA-9BA2-98EE4915F58D}">
      <formula1>"Grupo V da CID-10,Grupo XIII da CID-10,Grupos V e XII da CID-10"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BBD0-1799-4520-A72B-A4ADF47DE807}">
  <dimension ref="B3:E22"/>
  <sheetViews>
    <sheetView workbookViewId="0">
      <selection activeCell="D8" sqref="D8"/>
    </sheetView>
  </sheetViews>
  <sheetFormatPr defaultColWidth="8.7109375" defaultRowHeight="14.25" x14ac:dyDescent="0.2"/>
  <cols>
    <col min="1" max="1" width="8.7109375" style="17"/>
    <col min="2" max="2" width="2.5703125" style="17" bestFit="1" customWidth="1"/>
    <col min="3" max="3" width="27.28515625" style="17" bestFit="1" customWidth="1"/>
    <col min="4" max="4" width="28" style="17" bestFit="1" customWidth="1"/>
    <col min="5" max="5" width="59" style="17" bestFit="1" customWidth="1"/>
    <col min="6" max="16384" width="8.7109375" style="17"/>
  </cols>
  <sheetData>
    <row r="3" spans="2:5" ht="15" x14ac:dyDescent="0.2">
      <c r="C3" s="18" t="s">
        <v>100</v>
      </c>
      <c r="D3" s="19" t="s">
        <v>107</v>
      </c>
      <c r="E3" s="18" t="s">
        <v>43</v>
      </c>
    </row>
    <row r="4" spans="2:5" x14ac:dyDescent="0.2">
      <c r="B4" s="17" t="s">
        <v>46</v>
      </c>
      <c r="C4" s="17" t="s">
        <v>108</v>
      </c>
      <c r="D4" s="17" t="s">
        <v>109</v>
      </c>
      <c r="E4" s="17" t="s">
        <v>110</v>
      </c>
    </row>
    <row r="5" spans="2:5" x14ac:dyDescent="0.2">
      <c r="B5" s="17" t="s">
        <v>60</v>
      </c>
      <c r="C5" s="17" t="s">
        <v>108</v>
      </c>
      <c r="D5" s="17" t="s">
        <v>111</v>
      </c>
      <c r="E5" s="17" t="s">
        <v>112</v>
      </c>
    </row>
    <row r="6" spans="2:5" x14ac:dyDescent="0.2">
      <c r="B6" s="17" t="s">
        <v>52</v>
      </c>
      <c r="C6" s="17" t="s">
        <v>108</v>
      </c>
      <c r="D6" s="17" t="s">
        <v>113</v>
      </c>
      <c r="E6" s="17" t="s">
        <v>112</v>
      </c>
    </row>
    <row r="7" spans="2:5" x14ac:dyDescent="0.2">
      <c r="B7" s="17" t="s">
        <v>66</v>
      </c>
      <c r="C7" s="17" t="s">
        <v>108</v>
      </c>
      <c r="D7" s="17" t="s">
        <v>114</v>
      </c>
      <c r="E7" s="17" t="s">
        <v>112</v>
      </c>
    </row>
    <row r="8" spans="2:5" x14ac:dyDescent="0.2">
      <c r="B8" s="17" t="s">
        <v>48</v>
      </c>
      <c r="C8" s="17" t="s">
        <v>115</v>
      </c>
      <c r="D8" s="17" t="s">
        <v>109</v>
      </c>
      <c r="E8" s="17" t="s">
        <v>116</v>
      </c>
    </row>
    <row r="9" spans="2:5" x14ac:dyDescent="0.2">
      <c r="B9" s="17" t="s">
        <v>71</v>
      </c>
      <c r="C9" s="17" t="s">
        <v>115</v>
      </c>
      <c r="D9" s="17" t="s">
        <v>111</v>
      </c>
      <c r="E9" s="17" t="s">
        <v>116</v>
      </c>
    </row>
    <row r="10" spans="2:5" x14ac:dyDescent="0.2">
      <c r="B10" s="17" t="s">
        <v>51</v>
      </c>
      <c r="C10" s="17" t="s">
        <v>115</v>
      </c>
      <c r="D10" s="17" t="s">
        <v>113</v>
      </c>
      <c r="E10" s="17" t="s">
        <v>117</v>
      </c>
    </row>
    <row r="11" spans="2:5" x14ac:dyDescent="0.2">
      <c r="B11" s="17" t="s">
        <v>74</v>
      </c>
      <c r="C11" s="17" t="s">
        <v>115</v>
      </c>
      <c r="D11" s="17" t="s">
        <v>114</v>
      </c>
      <c r="E11" s="17" t="s">
        <v>118</v>
      </c>
    </row>
    <row r="12" spans="2:5" x14ac:dyDescent="0.2">
      <c r="B12" s="17" t="s">
        <v>77</v>
      </c>
      <c r="C12" s="17" t="s">
        <v>119</v>
      </c>
      <c r="D12" s="17" t="s">
        <v>109</v>
      </c>
      <c r="E12" s="17" t="s">
        <v>120</v>
      </c>
    </row>
    <row r="13" spans="2:5" x14ac:dyDescent="0.2">
      <c r="B13" s="17" t="s">
        <v>80</v>
      </c>
      <c r="C13" s="17" t="s">
        <v>119</v>
      </c>
      <c r="D13" s="17" t="s">
        <v>111</v>
      </c>
      <c r="E13" s="17" t="s">
        <v>120</v>
      </c>
    </row>
    <row r="14" spans="2:5" x14ac:dyDescent="0.2">
      <c r="B14" s="17" t="s">
        <v>81</v>
      </c>
      <c r="C14" s="17" t="s">
        <v>119</v>
      </c>
      <c r="D14" s="17" t="s">
        <v>113</v>
      </c>
      <c r="E14" s="17" t="s">
        <v>110</v>
      </c>
    </row>
    <row r="15" spans="2:5" x14ac:dyDescent="0.2">
      <c r="B15" s="17" t="s">
        <v>84</v>
      </c>
      <c r="C15" s="17" t="s">
        <v>119</v>
      </c>
      <c r="D15" s="17" t="s">
        <v>114</v>
      </c>
      <c r="E15" s="17" t="s">
        <v>117</v>
      </c>
    </row>
    <row r="16" spans="2:5" x14ac:dyDescent="0.2">
      <c r="B16" s="17" t="s">
        <v>86</v>
      </c>
      <c r="C16" s="17" t="s">
        <v>121</v>
      </c>
      <c r="D16" s="17" t="s">
        <v>109</v>
      </c>
      <c r="E16" s="17" t="s">
        <v>120</v>
      </c>
    </row>
    <row r="17" spans="2:5" x14ac:dyDescent="0.2">
      <c r="B17" s="17" t="s">
        <v>87</v>
      </c>
      <c r="C17" s="17" t="s">
        <v>121</v>
      </c>
      <c r="D17" s="17" t="s">
        <v>111</v>
      </c>
      <c r="E17" s="17" t="s">
        <v>120</v>
      </c>
    </row>
    <row r="18" spans="2:5" x14ac:dyDescent="0.2">
      <c r="B18" s="17" t="s">
        <v>88</v>
      </c>
      <c r="C18" s="17" t="s">
        <v>121</v>
      </c>
      <c r="D18" s="17" t="s">
        <v>113</v>
      </c>
      <c r="E18" s="17" t="s">
        <v>120</v>
      </c>
    </row>
    <row r="19" spans="2:5" x14ac:dyDescent="0.2">
      <c r="B19" s="17" t="s">
        <v>89</v>
      </c>
      <c r="C19" s="17" t="s">
        <v>121</v>
      </c>
      <c r="D19" s="17" t="s">
        <v>114</v>
      </c>
      <c r="E19" s="17" t="s">
        <v>110</v>
      </c>
    </row>
    <row r="22" spans="2:5" x14ac:dyDescent="0.2">
      <c r="C22" s="17" t="s">
        <v>121</v>
      </c>
      <c r="D22" s="17" t="s">
        <v>114</v>
      </c>
      <c r="E22" s="17" t="str">
        <f>IF(AND(C22=$C$4,D22=$D$4),$E$4,IF(AND(C22=$C$5,D22=$D$5),$E$5,IF(AND(C22=$C$6,D22=$D$6),$E$6,IF(AND(C22=$C$7,D22=$D$7),$E$7,IF(AND(C22=$C$8,D22=$D$8),$E$8,IF(AND(C22=$C$9,D22=$D$9),$E$9,IF(AND(C22=$C$10,D22=$D$10),$E$10,IF(AND(C22=$C$11,D22=$D$11),$E$11,IF(AND(C22=$C$12,D22=$D$12),$E$12,IF(AND(C22=$C$13,D22=$D$13),$E$13,IF(AND(C22=$C$14,D22=$D$14),$E$14,IF(AND(C22=$C$15,D22=$D$15),$E$15,IF(AND(C22=$C$16,D22=$D$16),$E$16,IF(AND(C22=$C$17,D22=$D$17),$E$17,IF(AND(C22=$C$18,D22=$D$18),$E$18,IF(AND(C22=$C$19,D22=$D$19),$E$19))))))))))))))))</f>
        <v>ANUAL (P1)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07C0-AB67-4653-AC8D-0D00C74C5B4B}">
  <dimension ref="A1:H61"/>
  <sheetViews>
    <sheetView workbookViewId="0">
      <selection activeCell="E2" sqref="E2:E13"/>
    </sheetView>
  </sheetViews>
  <sheetFormatPr defaultRowHeight="15" x14ac:dyDescent="0.25"/>
  <cols>
    <col min="1" max="1" width="36.28515625" customWidth="1"/>
    <col min="2" max="2" width="17.7109375" customWidth="1"/>
    <col min="3" max="3" width="19.42578125" customWidth="1"/>
    <col min="4" max="4" width="19.7109375" customWidth="1"/>
    <col min="5" max="5" width="20.7109375" customWidth="1"/>
  </cols>
  <sheetData>
    <row r="1" spans="1:8" x14ac:dyDescent="0.25">
      <c r="A1" s="14" t="s">
        <v>55</v>
      </c>
      <c r="B1" s="14" t="s">
        <v>78</v>
      </c>
      <c r="C1" s="14" t="s">
        <v>82</v>
      </c>
      <c r="D1" s="14" t="s">
        <v>69</v>
      </c>
      <c r="E1" s="14" t="s">
        <v>122</v>
      </c>
      <c r="F1" s="14"/>
      <c r="G1" s="14"/>
      <c r="H1" s="14"/>
    </row>
    <row r="2" spans="1:8" x14ac:dyDescent="0.25">
      <c r="A2" s="14" t="s">
        <v>56</v>
      </c>
      <c r="B2" s="14" t="s">
        <v>123</v>
      </c>
      <c r="C2" s="14" t="s">
        <v>124</v>
      </c>
      <c r="D2" s="14" t="s">
        <v>85</v>
      </c>
      <c r="E2" s="14" t="s">
        <v>125</v>
      </c>
      <c r="F2" s="14"/>
      <c r="G2" s="14"/>
      <c r="H2" s="14"/>
    </row>
    <row r="3" spans="1:8" x14ac:dyDescent="0.25">
      <c r="A3" s="14" t="s">
        <v>126</v>
      </c>
      <c r="B3" s="14" t="s">
        <v>127</v>
      </c>
      <c r="C3" s="14" t="s">
        <v>128</v>
      </c>
      <c r="D3" s="14" t="s">
        <v>75</v>
      </c>
      <c r="E3" s="14" t="s">
        <v>129</v>
      </c>
      <c r="F3" s="14"/>
      <c r="G3" s="14"/>
      <c r="H3" s="14"/>
    </row>
    <row r="4" spans="1:8" x14ac:dyDescent="0.25">
      <c r="A4" s="14" t="s">
        <v>130</v>
      </c>
      <c r="B4" s="14" t="s">
        <v>79</v>
      </c>
      <c r="C4" s="14" t="s">
        <v>131</v>
      </c>
      <c r="D4" s="14" t="s">
        <v>132</v>
      </c>
      <c r="E4" s="14" t="s">
        <v>133</v>
      </c>
      <c r="F4" s="14"/>
      <c r="G4" s="14"/>
      <c r="H4" s="14"/>
    </row>
    <row r="5" spans="1:8" x14ac:dyDescent="0.25">
      <c r="A5" s="14" t="s">
        <v>134</v>
      </c>
      <c r="B5" s="14" t="s">
        <v>135</v>
      </c>
      <c r="C5" s="14" t="s">
        <v>136</v>
      </c>
      <c r="D5" s="14" t="s">
        <v>137</v>
      </c>
      <c r="E5" s="14" t="s">
        <v>138</v>
      </c>
      <c r="F5" s="14"/>
      <c r="G5" s="14"/>
      <c r="H5" s="14"/>
    </row>
    <row r="6" spans="1:8" x14ac:dyDescent="0.25">
      <c r="A6" s="14" t="s">
        <v>139</v>
      </c>
      <c r="B6" s="14" t="s">
        <v>140</v>
      </c>
      <c r="C6" s="14" t="s">
        <v>141</v>
      </c>
      <c r="D6" s="14" t="s">
        <v>142</v>
      </c>
      <c r="E6" s="14" t="s">
        <v>143</v>
      </c>
      <c r="F6" s="14"/>
      <c r="G6" s="14"/>
      <c r="H6" s="14"/>
    </row>
    <row r="7" spans="1:8" x14ac:dyDescent="0.25">
      <c r="A7" s="14" t="s">
        <v>61</v>
      </c>
      <c r="B7" s="14" t="s">
        <v>144</v>
      </c>
      <c r="C7" s="14" t="s">
        <v>145</v>
      </c>
      <c r="D7" s="14" t="s">
        <v>146</v>
      </c>
      <c r="E7" s="14" t="s">
        <v>147</v>
      </c>
      <c r="F7" s="14"/>
      <c r="G7" s="14"/>
      <c r="H7" s="14"/>
    </row>
    <row r="8" spans="1:8" x14ac:dyDescent="0.25">
      <c r="A8" s="14" t="s">
        <v>72</v>
      </c>
      <c r="B8" s="14" t="s">
        <v>148</v>
      </c>
      <c r="C8" s="14" t="s">
        <v>149</v>
      </c>
      <c r="D8" s="14" t="s">
        <v>150</v>
      </c>
      <c r="E8" s="14" t="s">
        <v>151</v>
      </c>
      <c r="F8" s="14"/>
      <c r="G8" s="14"/>
      <c r="H8" s="14"/>
    </row>
    <row r="9" spans="1:8" x14ac:dyDescent="0.25">
      <c r="A9" s="14" t="s">
        <v>152</v>
      </c>
      <c r="B9" s="14" t="s">
        <v>153</v>
      </c>
      <c r="C9" s="14" t="s">
        <v>154</v>
      </c>
      <c r="D9" s="14" t="s">
        <v>70</v>
      </c>
      <c r="E9" s="14" t="s">
        <v>155</v>
      </c>
      <c r="F9" s="14"/>
      <c r="G9" s="14"/>
      <c r="H9" s="14"/>
    </row>
    <row r="10" spans="1:8" x14ac:dyDescent="0.25">
      <c r="A10" s="14" t="s">
        <v>156</v>
      </c>
      <c r="B10" s="14" t="s">
        <v>157</v>
      </c>
      <c r="C10" s="14" t="s">
        <v>158</v>
      </c>
      <c r="D10" s="14" t="s">
        <v>83</v>
      </c>
      <c r="E10" s="14" t="s">
        <v>159</v>
      </c>
      <c r="F10" s="14"/>
      <c r="G10" s="14"/>
      <c r="H10" s="14"/>
    </row>
    <row r="11" spans="1:8" x14ac:dyDescent="0.25">
      <c r="A11" s="14" t="s">
        <v>160</v>
      </c>
      <c r="B11" s="14" t="s">
        <v>83</v>
      </c>
      <c r="C11" s="14" t="s">
        <v>161</v>
      </c>
      <c r="D11" s="14"/>
      <c r="E11" s="14" t="s">
        <v>162</v>
      </c>
      <c r="F11" s="14"/>
      <c r="G11" s="14"/>
      <c r="H11" s="14"/>
    </row>
    <row r="12" spans="1:8" x14ac:dyDescent="0.25">
      <c r="A12" s="14" t="s">
        <v>163</v>
      </c>
      <c r="B12" s="14"/>
      <c r="C12" s="14" t="s">
        <v>83</v>
      </c>
      <c r="D12" s="14"/>
      <c r="E12" s="14" t="s">
        <v>164</v>
      </c>
      <c r="F12" s="14"/>
      <c r="G12" s="14"/>
      <c r="H12" s="14"/>
    </row>
    <row r="13" spans="1:8" x14ac:dyDescent="0.25">
      <c r="A13" s="14" t="s">
        <v>165</v>
      </c>
      <c r="B13" s="14"/>
      <c r="C13" s="14"/>
      <c r="D13" s="14"/>
      <c r="E13" s="14" t="s">
        <v>83</v>
      </c>
      <c r="F13" s="14"/>
      <c r="G13" s="14"/>
      <c r="H13" s="14"/>
    </row>
    <row r="14" spans="1:8" x14ac:dyDescent="0.25">
      <c r="A14" s="14" t="s">
        <v>166</v>
      </c>
      <c r="B14" s="14"/>
      <c r="C14" s="14"/>
      <c r="D14" s="14"/>
      <c r="E14" s="14"/>
      <c r="F14" s="14"/>
      <c r="G14" s="14"/>
      <c r="H14" s="14"/>
    </row>
    <row r="15" spans="1:8" x14ac:dyDescent="0.25">
      <c r="A15" s="14" t="s">
        <v>167</v>
      </c>
      <c r="B15" s="14"/>
      <c r="C15" s="14"/>
      <c r="D15" s="14"/>
      <c r="E15" s="14"/>
      <c r="F15" s="14"/>
      <c r="G15" s="14"/>
      <c r="H15" s="14"/>
    </row>
    <row r="16" spans="1:8" x14ac:dyDescent="0.25">
      <c r="A16" s="14" t="s">
        <v>168</v>
      </c>
      <c r="B16" s="14"/>
      <c r="C16" s="14"/>
      <c r="D16" s="14"/>
      <c r="E16" s="14"/>
      <c r="F16" s="14"/>
      <c r="G16" s="14"/>
      <c r="H16" s="14"/>
    </row>
    <row r="17" spans="1:8" x14ac:dyDescent="0.25">
      <c r="A17" s="14" t="s">
        <v>67</v>
      </c>
      <c r="B17" s="14"/>
      <c r="C17" s="14"/>
      <c r="D17" s="14"/>
      <c r="E17" s="14"/>
      <c r="F17" s="14"/>
      <c r="G17" s="14"/>
      <c r="H17" s="14"/>
    </row>
    <row r="18" spans="1:8" x14ac:dyDescent="0.25">
      <c r="A18" s="14" t="s">
        <v>169</v>
      </c>
      <c r="B18" s="14"/>
      <c r="C18" s="14"/>
      <c r="D18" s="14"/>
      <c r="E18" s="14"/>
      <c r="F18" s="14"/>
      <c r="G18" s="14"/>
      <c r="H18" s="14"/>
    </row>
    <row r="19" spans="1:8" x14ac:dyDescent="0.25">
      <c r="A19" s="14" t="s">
        <v>170</v>
      </c>
      <c r="B19" s="14"/>
      <c r="C19" s="14"/>
      <c r="D19" s="14"/>
      <c r="E19" s="14"/>
      <c r="F19" s="14"/>
      <c r="G19" s="14"/>
      <c r="H19" s="14"/>
    </row>
    <row r="20" spans="1:8" x14ac:dyDescent="0.25">
      <c r="A20" s="14" t="s">
        <v>171</v>
      </c>
      <c r="B20" s="14"/>
      <c r="C20" s="14"/>
      <c r="D20" s="14"/>
      <c r="E20" s="14"/>
      <c r="F20" s="14"/>
      <c r="G20" s="14"/>
      <c r="H20" s="14"/>
    </row>
    <row r="21" spans="1:8" x14ac:dyDescent="0.25">
      <c r="A21" s="14" t="s">
        <v>172</v>
      </c>
      <c r="B21" s="14"/>
      <c r="C21" s="14"/>
      <c r="D21" s="14"/>
      <c r="E21" s="14"/>
      <c r="F21" s="14"/>
      <c r="G21" s="14"/>
      <c r="H21" s="14"/>
    </row>
    <row r="22" spans="1:8" x14ac:dyDescent="0.25">
      <c r="A22" s="14" t="s">
        <v>83</v>
      </c>
      <c r="B22" s="14"/>
      <c r="C22" s="14"/>
      <c r="D22" s="14"/>
      <c r="E22" s="14"/>
      <c r="F22" s="14"/>
      <c r="G22" s="14"/>
      <c r="H22" s="14"/>
    </row>
    <row r="23" spans="1:8" x14ac:dyDescent="0.25">
      <c r="A23" s="14"/>
      <c r="B23" s="14"/>
      <c r="C23" s="14"/>
      <c r="D23" s="14"/>
      <c r="E23" s="14"/>
      <c r="F23" s="14"/>
      <c r="G23" s="14"/>
      <c r="H23" s="14"/>
    </row>
    <row r="24" spans="1:8" x14ac:dyDescent="0.25">
      <c r="A24" s="14"/>
      <c r="B24" s="14"/>
      <c r="C24" s="14"/>
      <c r="D24" s="14"/>
      <c r="E24" s="14"/>
      <c r="F24" s="14"/>
      <c r="G24" s="14"/>
      <c r="H24" s="14"/>
    </row>
    <row r="25" spans="1:8" x14ac:dyDescent="0.25">
      <c r="A25" s="14"/>
      <c r="B25" s="14"/>
      <c r="C25" s="14"/>
      <c r="D25" s="14"/>
      <c r="E25" s="14"/>
      <c r="F25" s="14"/>
      <c r="G25" s="14"/>
      <c r="H25" s="14"/>
    </row>
    <row r="26" spans="1:8" x14ac:dyDescent="0.25">
      <c r="A26" s="14"/>
      <c r="B26" s="14"/>
      <c r="C26" s="14"/>
      <c r="D26" s="14"/>
      <c r="E26" s="14"/>
      <c r="F26" s="14"/>
      <c r="G26" s="14"/>
      <c r="H26" s="14"/>
    </row>
    <row r="27" spans="1:8" x14ac:dyDescent="0.25">
      <c r="A27" s="14"/>
      <c r="B27" s="14"/>
      <c r="C27" s="14"/>
      <c r="D27" s="14"/>
      <c r="E27" s="14"/>
      <c r="F27" s="14"/>
      <c r="G27" s="14"/>
      <c r="H27" s="14"/>
    </row>
    <row r="28" spans="1:8" x14ac:dyDescent="0.25">
      <c r="A28" s="14"/>
      <c r="B28" s="14"/>
      <c r="C28" s="14"/>
      <c r="D28" s="14"/>
      <c r="E28" s="14"/>
      <c r="F28" s="14"/>
      <c r="G28" s="14"/>
      <c r="H28" s="14"/>
    </row>
    <row r="29" spans="1:8" x14ac:dyDescent="0.25">
      <c r="A29" s="14"/>
      <c r="B29" s="14"/>
      <c r="C29" s="14"/>
      <c r="D29" s="14"/>
      <c r="E29" s="14"/>
      <c r="F29" s="14"/>
      <c r="G29" s="14"/>
      <c r="H29" s="14"/>
    </row>
    <row r="30" spans="1:8" x14ac:dyDescent="0.25">
      <c r="A30" s="14"/>
      <c r="B30" s="14"/>
      <c r="C30" s="14"/>
      <c r="D30" s="14"/>
      <c r="E30" s="14"/>
      <c r="F30" s="14"/>
      <c r="G30" s="14"/>
      <c r="H30" s="14"/>
    </row>
    <row r="31" spans="1:8" x14ac:dyDescent="0.25">
      <c r="A31" s="14"/>
      <c r="B31" s="14"/>
      <c r="C31" s="14"/>
      <c r="D31" s="14"/>
      <c r="E31" s="14"/>
      <c r="F31" s="14"/>
      <c r="G31" s="14"/>
      <c r="H31" s="14"/>
    </row>
    <row r="32" spans="1:8" x14ac:dyDescent="0.25">
      <c r="A32" s="14"/>
      <c r="B32" s="14"/>
      <c r="C32" s="14"/>
      <c r="D32" s="14"/>
      <c r="E32" s="14"/>
      <c r="F32" s="14"/>
      <c r="G32" s="14"/>
      <c r="H32" s="14"/>
    </row>
    <row r="33" spans="1:8" x14ac:dyDescent="0.25">
      <c r="A33" s="14"/>
      <c r="B33" s="14"/>
      <c r="C33" s="14"/>
      <c r="D33" s="14"/>
      <c r="E33" s="14"/>
      <c r="F33" s="14"/>
      <c r="G33" s="14"/>
      <c r="H33" s="14"/>
    </row>
    <row r="34" spans="1:8" x14ac:dyDescent="0.25">
      <c r="A34" s="14"/>
      <c r="B34" s="14"/>
      <c r="C34" s="14"/>
      <c r="D34" s="14"/>
      <c r="E34" s="14"/>
      <c r="F34" s="14"/>
      <c r="G34" s="14"/>
      <c r="H34" s="14"/>
    </row>
    <row r="35" spans="1:8" x14ac:dyDescent="0.25">
      <c r="A35" s="14"/>
      <c r="B35" s="14"/>
      <c r="C35" s="14"/>
      <c r="D35" s="14"/>
      <c r="E35" s="14"/>
      <c r="F35" s="14"/>
      <c r="G35" s="14"/>
      <c r="H35" s="14"/>
    </row>
    <row r="36" spans="1:8" x14ac:dyDescent="0.25">
      <c r="A36" s="14"/>
      <c r="B36" s="14"/>
      <c r="C36" s="14"/>
      <c r="D36" s="14"/>
      <c r="E36" s="14"/>
      <c r="F36" s="14"/>
      <c r="G36" s="14"/>
      <c r="H36" s="14"/>
    </row>
    <row r="37" spans="1:8" x14ac:dyDescent="0.25">
      <c r="A37" s="14"/>
      <c r="B37" s="14"/>
      <c r="C37" s="14"/>
      <c r="D37" s="14"/>
      <c r="E37" s="14"/>
      <c r="F37" s="14"/>
      <c r="G37" s="14"/>
      <c r="H37" s="14"/>
    </row>
    <row r="38" spans="1:8" x14ac:dyDescent="0.25">
      <c r="A38" s="14"/>
      <c r="B38" s="14"/>
      <c r="C38" s="14"/>
      <c r="D38" s="14"/>
      <c r="E38" s="14"/>
      <c r="F38" s="14"/>
      <c r="G38" s="14"/>
      <c r="H38" s="14"/>
    </row>
    <row r="39" spans="1:8" x14ac:dyDescent="0.25">
      <c r="A39" s="14"/>
      <c r="B39" s="14"/>
      <c r="C39" s="14"/>
      <c r="D39" s="14"/>
      <c r="E39" s="14"/>
      <c r="F39" s="14"/>
      <c r="G39" s="14"/>
      <c r="H39" s="14"/>
    </row>
    <row r="40" spans="1:8" x14ac:dyDescent="0.25">
      <c r="A40" s="14"/>
      <c r="B40" s="14"/>
      <c r="C40" s="14"/>
      <c r="D40" s="14"/>
      <c r="E40" s="14"/>
      <c r="F40" s="14"/>
      <c r="G40" s="14"/>
      <c r="H40" s="14"/>
    </row>
    <row r="41" spans="1:8" x14ac:dyDescent="0.25">
      <c r="A41" s="14"/>
      <c r="B41" s="14"/>
      <c r="C41" s="14"/>
      <c r="D41" s="14"/>
      <c r="E41" s="14"/>
      <c r="F41" s="14"/>
      <c r="G41" s="14"/>
      <c r="H41" s="14"/>
    </row>
    <row r="42" spans="1:8" x14ac:dyDescent="0.25">
      <c r="A42" s="14"/>
      <c r="B42" s="14"/>
      <c r="C42" s="14"/>
      <c r="D42" s="14"/>
      <c r="E42" s="14"/>
      <c r="F42" s="14"/>
      <c r="G42" s="14"/>
      <c r="H42" s="14"/>
    </row>
    <row r="43" spans="1:8" x14ac:dyDescent="0.25">
      <c r="A43" s="14"/>
      <c r="B43" s="14"/>
      <c r="C43" s="14"/>
      <c r="D43" s="14"/>
      <c r="E43" s="14"/>
      <c r="F43" s="14"/>
      <c r="G43" s="14"/>
      <c r="H43" s="14"/>
    </row>
    <row r="44" spans="1:8" x14ac:dyDescent="0.25">
      <c r="A44" s="14"/>
      <c r="B44" s="14"/>
      <c r="C44" s="14"/>
      <c r="D44" s="14"/>
      <c r="E44" s="14"/>
      <c r="F44" s="14"/>
      <c r="G44" s="14"/>
      <c r="H44" s="14"/>
    </row>
    <row r="45" spans="1:8" x14ac:dyDescent="0.25">
      <c r="A45" s="14"/>
      <c r="B45" s="14"/>
      <c r="C45" s="14"/>
      <c r="D45" s="14"/>
      <c r="E45" s="14"/>
      <c r="F45" s="14"/>
      <c r="G45" s="14"/>
      <c r="H45" s="14"/>
    </row>
    <row r="46" spans="1:8" x14ac:dyDescent="0.25">
      <c r="A46" s="14"/>
      <c r="B46" s="14"/>
      <c r="C46" s="14"/>
      <c r="D46" s="14"/>
      <c r="E46" s="14"/>
      <c r="F46" s="14"/>
      <c r="G46" s="14"/>
      <c r="H46" s="14"/>
    </row>
    <row r="47" spans="1:8" x14ac:dyDescent="0.25">
      <c r="A47" s="14"/>
      <c r="B47" s="14"/>
      <c r="C47" s="14"/>
      <c r="D47" s="14"/>
      <c r="E47" s="14"/>
      <c r="F47" s="14"/>
      <c r="G47" s="14"/>
      <c r="H47" s="14"/>
    </row>
    <row r="48" spans="1:8" x14ac:dyDescent="0.25">
      <c r="A48" s="14"/>
      <c r="B48" s="14"/>
      <c r="C48" s="14"/>
      <c r="D48" s="14"/>
      <c r="E48" s="14"/>
      <c r="F48" s="14"/>
      <c r="G48" s="14"/>
      <c r="H48" s="14"/>
    </row>
    <row r="49" spans="1:8" x14ac:dyDescent="0.25">
      <c r="A49" s="14"/>
      <c r="B49" s="14"/>
      <c r="C49" s="14"/>
      <c r="D49" s="14"/>
      <c r="E49" s="14"/>
      <c r="F49" s="14"/>
      <c r="G49" s="14"/>
      <c r="H49" s="14"/>
    </row>
    <row r="50" spans="1:8" x14ac:dyDescent="0.25">
      <c r="A50" s="14"/>
      <c r="B50" s="14"/>
      <c r="C50" s="14"/>
      <c r="D50" s="14"/>
      <c r="E50" s="14"/>
      <c r="F50" s="14"/>
      <c r="G50" s="14"/>
      <c r="H50" s="14"/>
    </row>
    <row r="51" spans="1:8" x14ac:dyDescent="0.25">
      <c r="A51" s="14"/>
      <c r="B51" s="14"/>
      <c r="C51" s="14"/>
      <c r="D51" s="14"/>
      <c r="E51" s="14"/>
      <c r="F51" s="14"/>
      <c r="G51" s="14"/>
      <c r="H51" s="14"/>
    </row>
    <row r="52" spans="1:8" x14ac:dyDescent="0.25">
      <c r="A52" s="14"/>
      <c r="B52" s="14"/>
      <c r="C52" s="14"/>
      <c r="D52" s="14"/>
      <c r="E52" s="14"/>
      <c r="F52" s="14"/>
      <c r="G52" s="14"/>
      <c r="H52" s="14"/>
    </row>
    <row r="53" spans="1:8" x14ac:dyDescent="0.25">
      <c r="A53" s="14"/>
      <c r="B53" s="14"/>
      <c r="C53" s="14"/>
      <c r="D53" s="14"/>
      <c r="E53" s="14"/>
      <c r="F53" s="14"/>
      <c r="G53" s="14"/>
      <c r="H53" s="14"/>
    </row>
    <row r="54" spans="1:8" x14ac:dyDescent="0.25">
      <c r="A54" s="14"/>
      <c r="B54" s="14"/>
      <c r="C54" s="14"/>
      <c r="D54" s="14"/>
      <c r="E54" s="14"/>
      <c r="F54" s="14"/>
      <c r="G54" s="14"/>
      <c r="H54" s="14"/>
    </row>
    <row r="55" spans="1:8" x14ac:dyDescent="0.25">
      <c r="A55" s="14"/>
      <c r="B55" s="14"/>
      <c r="C55" s="14"/>
      <c r="D55" s="14"/>
      <c r="E55" s="14"/>
      <c r="F55" s="14"/>
      <c r="G55" s="14"/>
      <c r="H55" s="14"/>
    </row>
    <row r="56" spans="1:8" x14ac:dyDescent="0.25">
      <c r="A56" s="14"/>
      <c r="B56" s="14"/>
      <c r="C56" s="14"/>
      <c r="D56" s="14"/>
      <c r="E56" s="14"/>
      <c r="F56" s="14"/>
      <c r="G56" s="14"/>
      <c r="H56" s="14"/>
    </row>
    <row r="57" spans="1:8" x14ac:dyDescent="0.25">
      <c r="A57" s="14"/>
      <c r="B57" s="14"/>
      <c r="C57" s="14"/>
      <c r="D57" s="14"/>
      <c r="E57" s="14"/>
      <c r="F57" s="14"/>
      <c r="G57" s="14"/>
      <c r="H57" s="14"/>
    </row>
    <row r="58" spans="1:8" x14ac:dyDescent="0.25">
      <c r="A58" s="14"/>
      <c r="B58" s="14"/>
      <c r="C58" s="14"/>
      <c r="D58" s="14"/>
      <c r="E58" s="14"/>
      <c r="F58" s="14"/>
      <c r="G58" s="14"/>
      <c r="H58" s="14"/>
    </row>
    <row r="59" spans="1:8" x14ac:dyDescent="0.25">
      <c r="A59" s="14"/>
      <c r="B59" s="14"/>
      <c r="C59" s="14"/>
      <c r="D59" s="14"/>
      <c r="E59" s="14"/>
      <c r="F59" s="14"/>
      <c r="G59" s="14"/>
      <c r="H59" s="14"/>
    </row>
    <row r="60" spans="1:8" x14ac:dyDescent="0.25">
      <c r="A60" s="14"/>
      <c r="B60" s="14"/>
      <c r="C60" s="14"/>
      <c r="D60" s="14"/>
      <c r="E60" s="14"/>
      <c r="F60" s="14"/>
      <c r="G60" s="14"/>
      <c r="H60" s="14"/>
    </row>
    <row r="61" spans="1:8" x14ac:dyDescent="0.25">
      <c r="A61" s="14"/>
      <c r="B61" s="14"/>
      <c r="C61" s="14"/>
      <c r="D61" s="14"/>
      <c r="E61" s="14"/>
      <c r="F61" s="14"/>
      <c r="G61" s="14"/>
      <c r="H61" s="14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C81C-F771-4E86-9ADD-F5E5582CC07F}">
  <dimension ref="A1:D21"/>
  <sheetViews>
    <sheetView topLeftCell="A7" workbookViewId="0">
      <selection activeCell="C1" sqref="C1"/>
    </sheetView>
  </sheetViews>
  <sheetFormatPr defaultRowHeight="15" x14ac:dyDescent="0.25"/>
  <cols>
    <col min="1" max="1" width="86.28515625" bestFit="1" customWidth="1"/>
    <col min="2" max="2" width="141.28515625" bestFit="1" customWidth="1"/>
    <col min="3" max="3" width="108.28515625" bestFit="1" customWidth="1"/>
    <col min="4" max="4" width="110.28515625" bestFit="1" customWidth="1"/>
  </cols>
  <sheetData>
    <row r="1" spans="1:4" x14ac:dyDescent="0.25">
      <c r="A1" t="s">
        <v>173</v>
      </c>
      <c r="B1" t="s">
        <v>174</v>
      </c>
      <c r="C1" t="s">
        <v>82</v>
      </c>
      <c r="D1" t="s">
        <v>122</v>
      </c>
    </row>
    <row r="2" spans="1:4" x14ac:dyDescent="0.25">
      <c r="A2" t="s">
        <v>175</v>
      </c>
      <c r="B2" t="s">
        <v>123</v>
      </c>
      <c r="C2" t="s">
        <v>124</v>
      </c>
      <c r="D2" t="s">
        <v>125</v>
      </c>
    </row>
    <row r="3" spans="1:4" x14ac:dyDescent="0.25">
      <c r="A3" t="s">
        <v>126</v>
      </c>
      <c r="B3" t="s">
        <v>127</v>
      </c>
      <c r="C3" t="s">
        <v>128</v>
      </c>
      <c r="D3" t="s">
        <v>129</v>
      </c>
    </row>
    <row r="4" spans="1:4" x14ac:dyDescent="0.25">
      <c r="A4" t="s">
        <v>130</v>
      </c>
      <c r="B4" t="s">
        <v>79</v>
      </c>
      <c r="C4" t="s">
        <v>131</v>
      </c>
      <c r="D4" t="s">
        <v>133</v>
      </c>
    </row>
    <row r="5" spans="1:4" x14ac:dyDescent="0.25">
      <c r="A5" t="s">
        <v>134</v>
      </c>
      <c r="B5" t="s">
        <v>135</v>
      </c>
      <c r="C5" t="s">
        <v>136</v>
      </c>
      <c r="D5" t="s">
        <v>138</v>
      </c>
    </row>
    <row r="6" spans="1:4" x14ac:dyDescent="0.25">
      <c r="A6" t="s">
        <v>139</v>
      </c>
      <c r="B6" t="s">
        <v>140</v>
      </c>
      <c r="C6" t="s">
        <v>141</v>
      </c>
      <c r="D6" t="s">
        <v>155</v>
      </c>
    </row>
    <row r="7" spans="1:4" x14ac:dyDescent="0.25">
      <c r="A7" t="s">
        <v>61</v>
      </c>
      <c r="B7" t="s">
        <v>144</v>
      </c>
      <c r="C7" t="s">
        <v>145</v>
      </c>
      <c r="D7" t="s">
        <v>159</v>
      </c>
    </row>
    <row r="8" spans="1:4" x14ac:dyDescent="0.25">
      <c r="A8" t="s">
        <v>72</v>
      </c>
      <c r="B8" t="s">
        <v>148</v>
      </c>
      <c r="C8" t="s">
        <v>149</v>
      </c>
      <c r="D8" t="s">
        <v>162</v>
      </c>
    </row>
    <row r="9" spans="1:4" x14ac:dyDescent="0.25">
      <c r="A9" t="s">
        <v>152</v>
      </c>
      <c r="B9" t="s">
        <v>153</v>
      </c>
      <c r="C9" t="s">
        <v>154</v>
      </c>
      <c r="D9" t="s">
        <v>164</v>
      </c>
    </row>
    <row r="10" spans="1:4" x14ac:dyDescent="0.25">
      <c r="A10" t="s">
        <v>156</v>
      </c>
      <c r="B10" t="s">
        <v>157</v>
      </c>
      <c r="C10" t="s">
        <v>158</v>
      </c>
    </row>
    <row r="11" spans="1:4" x14ac:dyDescent="0.25">
      <c r="A11" t="s">
        <v>160</v>
      </c>
      <c r="C11" t="s">
        <v>161</v>
      </c>
    </row>
    <row r="12" spans="1:4" x14ac:dyDescent="0.25">
      <c r="A12" t="s">
        <v>163</v>
      </c>
      <c r="C12" t="s">
        <v>85</v>
      </c>
    </row>
    <row r="13" spans="1:4" x14ac:dyDescent="0.25">
      <c r="A13" t="s">
        <v>165</v>
      </c>
      <c r="C13" t="s">
        <v>75</v>
      </c>
    </row>
    <row r="14" spans="1:4" x14ac:dyDescent="0.25">
      <c r="A14" t="s">
        <v>166</v>
      </c>
      <c r="C14" t="s">
        <v>132</v>
      </c>
    </row>
    <row r="15" spans="1:4" x14ac:dyDescent="0.25">
      <c r="A15" t="s">
        <v>167</v>
      </c>
      <c r="C15" t="s">
        <v>137</v>
      </c>
    </row>
    <row r="16" spans="1:4" x14ac:dyDescent="0.25">
      <c r="A16" t="s">
        <v>168</v>
      </c>
      <c r="C16" t="s">
        <v>142</v>
      </c>
    </row>
    <row r="17" spans="1:3" x14ac:dyDescent="0.25">
      <c r="A17" t="s">
        <v>67</v>
      </c>
      <c r="C17" t="s">
        <v>146</v>
      </c>
    </row>
    <row r="18" spans="1:3" x14ac:dyDescent="0.25">
      <c r="A18" t="s">
        <v>169</v>
      </c>
      <c r="C18" t="s">
        <v>150</v>
      </c>
    </row>
    <row r="19" spans="1:3" x14ac:dyDescent="0.25">
      <c r="A19" t="s">
        <v>176</v>
      </c>
      <c r="C19" t="s">
        <v>70</v>
      </c>
    </row>
    <row r="20" spans="1:3" x14ac:dyDescent="0.25">
      <c r="A20" t="s">
        <v>171</v>
      </c>
    </row>
    <row r="21" spans="1:3" x14ac:dyDescent="0.25">
      <c r="A21" t="s">
        <v>172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26FD-C828-4ACA-8E03-A51153613BBB}">
  <dimension ref="A2:L19"/>
  <sheetViews>
    <sheetView workbookViewId="0">
      <selection activeCell="G4" sqref="G4:G18"/>
    </sheetView>
  </sheetViews>
  <sheetFormatPr defaultRowHeight="15" x14ac:dyDescent="0.25"/>
  <cols>
    <col min="8" max="8" width="11.28515625" bestFit="1" customWidth="1"/>
    <col min="11" max="11" width="11.5703125" bestFit="1" customWidth="1"/>
  </cols>
  <sheetData>
    <row r="2" spans="2:12" x14ac:dyDescent="0.25">
      <c r="J2" s="3" t="s">
        <v>177</v>
      </c>
      <c r="K2" s="3" t="s">
        <v>178</v>
      </c>
      <c r="L2" s="3" t="s">
        <v>179</v>
      </c>
    </row>
    <row r="3" spans="2:12" x14ac:dyDescent="0.25">
      <c r="B3">
        <v>1</v>
      </c>
      <c r="C3" t="s">
        <v>16</v>
      </c>
      <c r="E3" s="3">
        <v>1</v>
      </c>
      <c r="F3">
        <v>1</v>
      </c>
      <c r="G3" s="13" t="s">
        <v>16</v>
      </c>
      <c r="H3" s="3">
        <v>1</v>
      </c>
    </row>
    <row r="4" spans="2:12" x14ac:dyDescent="0.25">
      <c r="B4">
        <v>2</v>
      </c>
      <c r="C4" t="s">
        <v>12</v>
      </c>
      <c r="E4" s="3">
        <v>1</v>
      </c>
      <c r="F4">
        <v>2</v>
      </c>
      <c r="G4" s="13" t="s">
        <v>12</v>
      </c>
      <c r="H4" s="3">
        <v>1</v>
      </c>
    </row>
    <row r="5" spans="2:12" x14ac:dyDescent="0.25">
      <c r="B5">
        <v>3</v>
      </c>
      <c r="C5" t="s">
        <v>12</v>
      </c>
      <c r="E5" s="3">
        <v>1</v>
      </c>
      <c r="F5">
        <v>3</v>
      </c>
      <c r="G5" s="13" t="s">
        <v>12</v>
      </c>
      <c r="H5" s="3">
        <v>1</v>
      </c>
    </row>
    <row r="6" spans="2:12" x14ac:dyDescent="0.25">
      <c r="B6">
        <v>4</v>
      </c>
      <c r="C6" t="s">
        <v>12</v>
      </c>
      <c r="E6" s="3">
        <v>1</v>
      </c>
      <c r="F6">
        <v>4</v>
      </c>
      <c r="G6" s="13" t="s">
        <v>8</v>
      </c>
      <c r="H6" s="3">
        <v>1</v>
      </c>
    </row>
    <row r="7" spans="2:12" x14ac:dyDescent="0.25">
      <c r="B7">
        <v>5</v>
      </c>
      <c r="C7" t="s">
        <v>12</v>
      </c>
      <c r="E7" s="3">
        <v>1</v>
      </c>
      <c r="F7">
        <v>5</v>
      </c>
      <c r="G7" s="13" t="s">
        <v>8</v>
      </c>
      <c r="H7" s="3">
        <v>1</v>
      </c>
    </row>
    <row r="8" spans="2:12" x14ac:dyDescent="0.25">
      <c r="B8">
        <v>6</v>
      </c>
      <c r="C8" t="s">
        <v>12</v>
      </c>
      <c r="E8" s="3">
        <v>2</v>
      </c>
      <c r="F8">
        <v>6</v>
      </c>
      <c r="G8" s="13" t="s">
        <v>8</v>
      </c>
      <c r="H8" s="3">
        <v>2</v>
      </c>
    </row>
    <row r="9" spans="2:12" x14ac:dyDescent="0.25">
      <c r="B9">
        <v>7</v>
      </c>
      <c r="C9" t="s">
        <v>8</v>
      </c>
      <c r="E9" s="3">
        <v>2</v>
      </c>
      <c r="F9">
        <v>7</v>
      </c>
      <c r="G9" s="13" t="s">
        <v>8</v>
      </c>
      <c r="H9" s="3">
        <v>2</v>
      </c>
    </row>
    <row r="10" spans="2:12" x14ac:dyDescent="0.25">
      <c r="B10">
        <v>8</v>
      </c>
      <c r="C10" t="s">
        <v>8</v>
      </c>
      <c r="E10" s="3">
        <v>2</v>
      </c>
      <c r="F10">
        <v>8</v>
      </c>
      <c r="G10" s="13" t="s">
        <v>8</v>
      </c>
      <c r="H10" s="3">
        <v>2</v>
      </c>
    </row>
    <row r="11" spans="2:12" x14ac:dyDescent="0.25">
      <c r="B11">
        <v>9</v>
      </c>
      <c r="C11" t="s">
        <v>8</v>
      </c>
      <c r="E11" s="3">
        <v>2</v>
      </c>
      <c r="F11">
        <v>9</v>
      </c>
      <c r="G11" s="13" t="s">
        <v>8</v>
      </c>
      <c r="H11" s="3">
        <v>2</v>
      </c>
    </row>
    <row r="12" spans="2:12" x14ac:dyDescent="0.25">
      <c r="B12">
        <v>10</v>
      </c>
      <c r="C12" t="s">
        <v>8</v>
      </c>
      <c r="E12" s="3">
        <v>2</v>
      </c>
      <c r="F12">
        <v>10</v>
      </c>
      <c r="G12" s="13" t="s">
        <v>8</v>
      </c>
      <c r="H12" s="3">
        <v>2</v>
      </c>
    </row>
    <row r="13" spans="2:12" x14ac:dyDescent="0.25">
      <c r="B13">
        <v>11</v>
      </c>
      <c r="C13" t="s">
        <v>8</v>
      </c>
      <c r="E13" s="3">
        <v>2</v>
      </c>
      <c r="F13">
        <v>11</v>
      </c>
      <c r="G13" s="13" t="s">
        <v>8</v>
      </c>
      <c r="H13" s="3">
        <v>2</v>
      </c>
    </row>
    <row r="14" spans="2:12" x14ac:dyDescent="0.25">
      <c r="B14">
        <v>12</v>
      </c>
      <c r="C14" t="s">
        <v>6</v>
      </c>
      <c r="E14" s="3">
        <v>3</v>
      </c>
      <c r="F14">
        <v>12</v>
      </c>
      <c r="G14" s="13" t="s">
        <v>6</v>
      </c>
      <c r="H14" s="3">
        <v>3</v>
      </c>
    </row>
    <row r="15" spans="2:12" x14ac:dyDescent="0.25">
      <c r="B15">
        <v>13</v>
      </c>
      <c r="C15" t="s">
        <v>6</v>
      </c>
      <c r="E15" s="3">
        <v>3</v>
      </c>
      <c r="F15">
        <v>13</v>
      </c>
      <c r="G15" s="13" t="s">
        <v>6</v>
      </c>
      <c r="H15" s="3">
        <v>3</v>
      </c>
    </row>
    <row r="16" spans="2:12" x14ac:dyDescent="0.25">
      <c r="B16">
        <v>14</v>
      </c>
      <c r="C16" t="s">
        <v>6</v>
      </c>
      <c r="E16" s="3">
        <v>3</v>
      </c>
      <c r="F16">
        <v>14</v>
      </c>
      <c r="G16" s="13" t="s">
        <v>6</v>
      </c>
      <c r="H16" s="3">
        <v>3</v>
      </c>
    </row>
    <row r="17" spans="1:8" x14ac:dyDescent="0.25">
      <c r="B17">
        <v>15</v>
      </c>
      <c r="C17" t="s">
        <v>6</v>
      </c>
      <c r="E17" s="3">
        <v>3</v>
      </c>
      <c r="F17">
        <v>15</v>
      </c>
      <c r="G17" s="13" t="s">
        <v>6</v>
      </c>
      <c r="H17" s="3">
        <v>3</v>
      </c>
    </row>
    <row r="18" spans="1:8" x14ac:dyDescent="0.25">
      <c r="B18">
        <v>16</v>
      </c>
      <c r="C18" t="s">
        <v>0</v>
      </c>
      <c r="E18" s="3">
        <v>4</v>
      </c>
      <c r="F18">
        <v>16</v>
      </c>
      <c r="G18" s="13" t="s">
        <v>0</v>
      </c>
      <c r="H18" s="3">
        <v>4</v>
      </c>
    </row>
    <row r="19" spans="1:8" x14ac:dyDescent="0.25">
      <c r="A19" s="3"/>
      <c r="B19" s="3"/>
      <c r="C19" s="3"/>
      <c r="D19" s="3"/>
    </row>
  </sheetData>
  <conditionalFormatting sqref="G3:G18">
    <cfRule type="containsText" dxfId="4" priority="1" operator="containsText" text="CRÍTICO">
      <formula>NOT(ISERROR(SEARCH("CRÍTICO",G3)))</formula>
    </cfRule>
    <cfRule type="containsText" dxfId="3" priority="2" operator="containsText" text="IRRELEVANTE">
      <formula>NOT(ISERROR(SEARCH("IRRELEVANTE",G3)))</formula>
    </cfRule>
    <cfRule type="containsText" dxfId="2" priority="3" operator="containsText" text="ALTO">
      <formula>NOT(ISERROR(SEARCH("ALTO",G3)))</formula>
    </cfRule>
    <cfRule type="containsText" dxfId="1" priority="4" operator="containsText" text="MÉDIO">
      <formula>NOT(ISERROR(SEARCH("MÉDIO",G3)))</formula>
    </cfRule>
    <cfRule type="containsText" dxfId="0" priority="5" operator="containsText" text="BAIXO">
      <formula>NOT(ISERROR(SEARCH("BAIXO",G3)))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507A9-7258-4F16-B9E9-724E64D00A1C}">
  <dimension ref="A2:J60"/>
  <sheetViews>
    <sheetView topLeftCell="A5" workbookViewId="0">
      <selection activeCell="J7" sqref="J7"/>
    </sheetView>
  </sheetViews>
  <sheetFormatPr defaultRowHeight="15" x14ac:dyDescent="0.25"/>
  <cols>
    <col min="1" max="1" width="9.85546875" bestFit="1" customWidth="1"/>
    <col min="2" max="2" width="18.5703125" bestFit="1" customWidth="1"/>
    <col min="3" max="3" width="35.42578125" customWidth="1"/>
    <col min="4" max="4" width="18.5703125" bestFit="1" customWidth="1"/>
    <col min="5" max="5" width="25.7109375" customWidth="1"/>
    <col min="6" max="6" width="18.5703125" bestFit="1" customWidth="1"/>
    <col min="7" max="7" width="8.7109375" style="1"/>
  </cols>
  <sheetData>
    <row r="2" spans="2:7" ht="15.75" thickBot="1" x14ac:dyDescent="0.3"/>
    <row r="3" spans="2:7" ht="15.75" thickBot="1" x14ac:dyDescent="0.3">
      <c r="B3" s="3" t="s">
        <v>100</v>
      </c>
      <c r="C3" s="4" t="s">
        <v>180</v>
      </c>
      <c r="D3" s="3" t="s">
        <v>100</v>
      </c>
      <c r="E3" s="4" t="s">
        <v>181</v>
      </c>
      <c r="F3" s="3" t="s">
        <v>100</v>
      </c>
    </row>
    <row r="4" spans="2:7" ht="45.75" thickBot="1" x14ac:dyDescent="0.3">
      <c r="B4" s="3">
        <v>1</v>
      </c>
      <c r="C4" s="5" t="s">
        <v>73</v>
      </c>
      <c r="D4" s="3">
        <v>1</v>
      </c>
      <c r="E4" s="5" t="s">
        <v>182</v>
      </c>
      <c r="F4" s="3">
        <v>1</v>
      </c>
      <c r="G4" s="1" t="s">
        <v>119</v>
      </c>
    </row>
    <row r="5" spans="2:7" ht="57" thickBot="1" x14ac:dyDescent="0.3">
      <c r="B5" s="3">
        <v>2</v>
      </c>
      <c r="C5" s="7" t="s">
        <v>57</v>
      </c>
      <c r="D5" s="3">
        <v>2</v>
      </c>
      <c r="E5" s="7" t="s">
        <v>68</v>
      </c>
      <c r="F5" s="3">
        <v>2</v>
      </c>
      <c r="G5" s="1" t="s">
        <v>115</v>
      </c>
    </row>
    <row r="6" spans="2:7" ht="79.5" thickBot="1" x14ac:dyDescent="0.3">
      <c r="B6" s="3">
        <v>3</v>
      </c>
      <c r="C6" s="8" t="s">
        <v>62</v>
      </c>
      <c r="D6" s="3">
        <v>3</v>
      </c>
      <c r="E6" s="5" t="s">
        <v>65</v>
      </c>
      <c r="F6" s="3">
        <v>3</v>
      </c>
      <c r="G6" s="1" t="s">
        <v>108</v>
      </c>
    </row>
    <row r="7" spans="2:7" ht="34.5" thickBot="1" x14ac:dyDescent="0.3">
      <c r="B7" s="3">
        <v>4</v>
      </c>
      <c r="C7" s="7" t="s">
        <v>76</v>
      </c>
      <c r="D7" s="3">
        <v>4</v>
      </c>
      <c r="E7" s="6" t="s">
        <v>59</v>
      </c>
      <c r="F7" s="3">
        <v>4</v>
      </c>
      <c r="G7" s="1" t="s">
        <v>183</v>
      </c>
    </row>
    <row r="8" spans="2:7" ht="15.75" thickBot="1" x14ac:dyDescent="0.3">
      <c r="B8" s="3"/>
      <c r="C8" s="3"/>
      <c r="D8" s="3"/>
      <c r="E8" s="3"/>
      <c r="F8" s="3"/>
    </row>
    <row r="9" spans="2:7" ht="23.25" thickBot="1" x14ac:dyDescent="0.3">
      <c r="B9" s="3" t="s">
        <v>184</v>
      </c>
      <c r="C9" s="9" t="s">
        <v>185</v>
      </c>
      <c r="D9" s="3" t="s">
        <v>184</v>
      </c>
      <c r="E9" s="10" t="s">
        <v>186</v>
      </c>
      <c r="F9" s="3" t="s">
        <v>184</v>
      </c>
    </row>
    <row r="10" spans="2:7" ht="27.75" thickBot="1" x14ac:dyDescent="0.3">
      <c r="B10" s="3">
        <v>1</v>
      </c>
      <c r="C10" s="11" t="s">
        <v>58</v>
      </c>
      <c r="D10" s="3">
        <v>1</v>
      </c>
      <c r="E10" s="12" t="s">
        <v>187</v>
      </c>
      <c r="F10" s="3">
        <v>1</v>
      </c>
      <c r="G10" s="1" t="s">
        <v>109</v>
      </c>
    </row>
    <row r="11" spans="2:7" ht="36.75" thickBot="1" x14ac:dyDescent="0.3">
      <c r="B11" s="3">
        <v>2</v>
      </c>
      <c r="C11" s="11" t="s">
        <v>64</v>
      </c>
      <c r="D11" s="3">
        <v>2</v>
      </c>
      <c r="E11" s="12" t="s">
        <v>188</v>
      </c>
      <c r="F11" s="3">
        <v>2</v>
      </c>
      <c r="G11" s="1" t="s">
        <v>111</v>
      </c>
    </row>
    <row r="12" spans="2:7" ht="36.75" thickBot="1" x14ac:dyDescent="0.3">
      <c r="B12" s="3">
        <v>3</v>
      </c>
      <c r="C12" s="11" t="s">
        <v>63</v>
      </c>
      <c r="D12" s="3">
        <v>3</v>
      </c>
      <c r="E12" s="12" t="s">
        <v>189</v>
      </c>
      <c r="F12" s="3">
        <v>3</v>
      </c>
      <c r="G12" s="1" t="s">
        <v>113</v>
      </c>
    </row>
    <row r="13" spans="2:7" ht="27.75" thickBot="1" x14ac:dyDescent="0.3">
      <c r="B13" s="3">
        <v>4</v>
      </c>
      <c r="C13" s="11" t="s">
        <v>190</v>
      </c>
      <c r="D13" s="3">
        <v>4</v>
      </c>
      <c r="E13" s="11" t="s">
        <v>191</v>
      </c>
      <c r="F13" s="3">
        <v>4</v>
      </c>
      <c r="G13" s="1" t="s">
        <v>114</v>
      </c>
    </row>
    <row r="31" spans="2:10" x14ac:dyDescent="0.25">
      <c r="G31"/>
      <c r="H31" s="15"/>
      <c r="I31" s="16"/>
      <c r="J31" s="15"/>
    </row>
    <row r="32" spans="2:10" x14ac:dyDescent="0.25">
      <c r="B32" s="15" t="s">
        <v>100</v>
      </c>
      <c r="C32" s="16" t="s">
        <v>107</v>
      </c>
      <c r="D32" s="15" t="s">
        <v>43</v>
      </c>
      <c r="G32"/>
    </row>
    <row r="33" spans="1:7" x14ac:dyDescent="0.25">
      <c r="A33" t="s">
        <v>46</v>
      </c>
      <c r="B33" t="s">
        <v>108</v>
      </c>
      <c r="C33" t="s">
        <v>109</v>
      </c>
      <c r="D33" t="s">
        <v>110</v>
      </c>
      <c r="G33"/>
    </row>
    <row r="34" spans="1:7" x14ac:dyDescent="0.25">
      <c r="A34" t="s">
        <v>60</v>
      </c>
      <c r="B34" t="s">
        <v>108</v>
      </c>
      <c r="C34" t="s">
        <v>111</v>
      </c>
      <c r="D34" t="s">
        <v>112</v>
      </c>
      <c r="G34"/>
    </row>
    <row r="35" spans="1:7" x14ac:dyDescent="0.25">
      <c r="A35" t="s">
        <v>52</v>
      </c>
      <c r="B35" t="s">
        <v>108</v>
      </c>
      <c r="C35" t="s">
        <v>113</v>
      </c>
      <c r="D35" t="s">
        <v>112</v>
      </c>
      <c r="G35"/>
    </row>
    <row r="36" spans="1:7" x14ac:dyDescent="0.25">
      <c r="A36" t="s">
        <v>66</v>
      </c>
      <c r="B36" t="s">
        <v>108</v>
      </c>
      <c r="C36" t="s">
        <v>114</v>
      </c>
      <c r="D36" t="s">
        <v>112</v>
      </c>
      <c r="G36"/>
    </row>
    <row r="37" spans="1:7" x14ac:dyDescent="0.25">
      <c r="A37" t="s">
        <v>48</v>
      </c>
      <c r="B37" t="s">
        <v>115</v>
      </c>
      <c r="C37" t="s">
        <v>109</v>
      </c>
      <c r="D37" t="s">
        <v>116</v>
      </c>
      <c r="G37"/>
    </row>
    <row r="38" spans="1:7" x14ac:dyDescent="0.25">
      <c r="A38" t="s">
        <v>71</v>
      </c>
      <c r="B38" t="s">
        <v>115</v>
      </c>
      <c r="C38" t="s">
        <v>111</v>
      </c>
      <c r="D38" t="s">
        <v>116</v>
      </c>
      <c r="G38"/>
    </row>
    <row r="39" spans="1:7" x14ac:dyDescent="0.25">
      <c r="A39" t="s">
        <v>51</v>
      </c>
      <c r="B39" t="s">
        <v>115</v>
      </c>
      <c r="C39" t="s">
        <v>113</v>
      </c>
      <c r="D39" t="s">
        <v>117</v>
      </c>
      <c r="G39"/>
    </row>
    <row r="40" spans="1:7" x14ac:dyDescent="0.25">
      <c r="A40" t="s">
        <v>74</v>
      </c>
      <c r="B40" t="s">
        <v>115</v>
      </c>
      <c r="C40" t="s">
        <v>114</v>
      </c>
      <c r="D40" t="s">
        <v>118</v>
      </c>
      <c r="G40"/>
    </row>
    <row r="41" spans="1:7" x14ac:dyDescent="0.25">
      <c r="A41" t="s">
        <v>77</v>
      </c>
      <c r="B41" t="s">
        <v>119</v>
      </c>
      <c r="C41" t="s">
        <v>109</v>
      </c>
      <c r="D41" t="s">
        <v>120</v>
      </c>
      <c r="G41"/>
    </row>
    <row r="42" spans="1:7" x14ac:dyDescent="0.25">
      <c r="A42" t="s">
        <v>80</v>
      </c>
      <c r="B42" t="s">
        <v>119</v>
      </c>
      <c r="C42" t="s">
        <v>111</v>
      </c>
      <c r="D42" t="s">
        <v>120</v>
      </c>
      <c r="G42"/>
    </row>
    <row r="43" spans="1:7" x14ac:dyDescent="0.25">
      <c r="A43" t="s">
        <v>81</v>
      </c>
      <c r="B43" t="s">
        <v>119</v>
      </c>
      <c r="C43" t="s">
        <v>113</v>
      </c>
      <c r="D43" t="s">
        <v>110</v>
      </c>
      <c r="G43"/>
    </row>
    <row r="44" spans="1:7" x14ac:dyDescent="0.25">
      <c r="A44" t="s">
        <v>84</v>
      </c>
      <c r="B44" t="s">
        <v>119</v>
      </c>
      <c r="C44" t="s">
        <v>114</v>
      </c>
      <c r="D44" t="s">
        <v>117</v>
      </c>
      <c r="G44"/>
    </row>
    <row r="45" spans="1:7" x14ac:dyDescent="0.25">
      <c r="A45" t="s">
        <v>86</v>
      </c>
      <c r="B45" t="s">
        <v>121</v>
      </c>
      <c r="C45" t="s">
        <v>109</v>
      </c>
      <c r="D45" t="s">
        <v>120</v>
      </c>
      <c r="G45"/>
    </row>
    <row r="46" spans="1:7" x14ac:dyDescent="0.25">
      <c r="A46" t="s">
        <v>87</v>
      </c>
      <c r="B46" t="s">
        <v>121</v>
      </c>
      <c r="C46" t="s">
        <v>111</v>
      </c>
      <c r="D46" t="s">
        <v>120</v>
      </c>
      <c r="G46"/>
    </row>
    <row r="47" spans="1:7" x14ac:dyDescent="0.25">
      <c r="A47" t="s">
        <v>88</v>
      </c>
      <c r="B47" t="s">
        <v>121</v>
      </c>
      <c r="C47" t="s">
        <v>113</v>
      </c>
      <c r="D47" t="s">
        <v>120</v>
      </c>
      <c r="G47"/>
    </row>
    <row r="48" spans="1:7" x14ac:dyDescent="0.25">
      <c r="A48" t="s">
        <v>89</v>
      </c>
      <c r="B48" t="s">
        <v>121</v>
      </c>
      <c r="C48" t="s">
        <v>114</v>
      </c>
      <c r="D48" t="s">
        <v>110</v>
      </c>
      <c r="G48"/>
    </row>
    <row r="49" spans="1:7" x14ac:dyDescent="0.25">
      <c r="G49"/>
    </row>
    <row r="50" spans="1:7" x14ac:dyDescent="0.25">
      <c r="G50"/>
    </row>
    <row r="51" spans="1:7" x14ac:dyDescent="0.25">
      <c r="A51" t="str">
        <f>IF(AND(B51=B33,C51=C33),D33,"-")</f>
        <v>ANUAL (P1)</v>
      </c>
      <c r="B51" t="s">
        <v>108</v>
      </c>
      <c r="C51" t="s">
        <v>109</v>
      </c>
      <c r="G51"/>
    </row>
    <row r="52" spans="1:7" x14ac:dyDescent="0.25">
      <c r="G52"/>
    </row>
    <row r="53" spans="1:7" x14ac:dyDescent="0.25">
      <c r="G53"/>
    </row>
    <row r="54" spans="1:7" x14ac:dyDescent="0.25">
      <c r="G54"/>
    </row>
    <row r="55" spans="1:7" x14ac:dyDescent="0.25">
      <c r="G55"/>
    </row>
    <row r="56" spans="1:7" x14ac:dyDescent="0.25">
      <c r="G56"/>
    </row>
    <row r="57" spans="1:7" x14ac:dyDescent="0.25">
      <c r="G57"/>
    </row>
    <row r="58" spans="1:7" x14ac:dyDescent="0.25">
      <c r="G58"/>
    </row>
    <row r="59" spans="1:7" x14ac:dyDescent="0.25">
      <c r="G59"/>
    </row>
    <row r="60" spans="1:7" x14ac:dyDescent="0.25">
      <c r="G60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2C42-0C5A-4BE6-AEB0-1CA533A36C06}">
  <dimension ref="B3:H40"/>
  <sheetViews>
    <sheetView topLeftCell="B1" workbookViewId="0">
      <selection activeCell="E14" sqref="E13:E14"/>
    </sheetView>
  </sheetViews>
  <sheetFormatPr defaultColWidth="8.7109375" defaultRowHeight="14.25" x14ac:dyDescent="0.2"/>
  <cols>
    <col min="1" max="1" width="8.7109375" style="17"/>
    <col min="2" max="2" width="2.5703125" style="17" bestFit="1" customWidth="1"/>
    <col min="3" max="3" width="27.28515625" style="17" bestFit="1" customWidth="1"/>
    <col min="4" max="4" width="28" style="17" bestFit="1" customWidth="1"/>
    <col min="5" max="5" width="59" style="17" bestFit="1" customWidth="1"/>
    <col min="6" max="16384" width="8.7109375" style="17"/>
  </cols>
  <sheetData>
    <row r="3" spans="2:8" ht="15" x14ac:dyDescent="0.25">
      <c r="C3" s="18" t="s">
        <v>100</v>
      </c>
      <c r="D3" s="19" t="s">
        <v>107</v>
      </c>
      <c r="E3" s="18" t="s">
        <v>43</v>
      </c>
      <c r="G3" s="17">
        <v>1</v>
      </c>
      <c r="H3" t="s">
        <v>108</v>
      </c>
    </row>
    <row r="4" spans="2:8" ht="15" x14ac:dyDescent="0.25">
      <c r="B4" s="17" t="s">
        <v>46</v>
      </c>
      <c r="C4" s="17">
        <v>4</v>
      </c>
      <c r="D4" s="17">
        <v>1</v>
      </c>
      <c r="E4" s="17" t="s">
        <v>110</v>
      </c>
      <c r="G4" s="17">
        <v>2</v>
      </c>
      <c r="H4" t="s">
        <v>115</v>
      </c>
    </row>
    <row r="5" spans="2:8" ht="15" x14ac:dyDescent="0.25">
      <c r="B5" s="17" t="s">
        <v>60</v>
      </c>
      <c r="C5" s="17">
        <v>4</v>
      </c>
      <c r="D5" s="17">
        <v>2</v>
      </c>
      <c r="E5" s="17" t="s">
        <v>112</v>
      </c>
      <c r="G5" s="17">
        <v>3</v>
      </c>
      <c r="H5" t="s">
        <v>119</v>
      </c>
    </row>
    <row r="6" spans="2:8" ht="15" x14ac:dyDescent="0.25">
      <c r="B6" s="17" t="s">
        <v>52</v>
      </c>
      <c r="C6" s="17">
        <v>4</v>
      </c>
      <c r="D6" s="17">
        <v>3</v>
      </c>
      <c r="E6" s="17" t="s">
        <v>112</v>
      </c>
      <c r="G6" s="17">
        <v>4</v>
      </c>
      <c r="H6" t="s">
        <v>121</v>
      </c>
    </row>
    <row r="7" spans="2:8" x14ac:dyDescent="0.2">
      <c r="B7" s="17" t="s">
        <v>66</v>
      </c>
      <c r="C7" s="17">
        <v>4</v>
      </c>
      <c r="D7" s="17">
        <v>4</v>
      </c>
      <c r="E7" s="17" t="s">
        <v>192</v>
      </c>
    </row>
    <row r="8" spans="2:8" ht="15" x14ac:dyDescent="0.25">
      <c r="B8" s="17" t="s">
        <v>48</v>
      </c>
      <c r="C8" s="17">
        <v>3</v>
      </c>
      <c r="D8" s="17">
        <v>1</v>
      </c>
      <c r="E8" s="17" t="s">
        <v>116</v>
      </c>
      <c r="G8" s="17">
        <v>1</v>
      </c>
      <c r="H8" t="s">
        <v>109</v>
      </c>
    </row>
    <row r="9" spans="2:8" ht="15" x14ac:dyDescent="0.25">
      <c r="B9" s="17" t="s">
        <v>71</v>
      </c>
      <c r="C9" s="17">
        <v>3</v>
      </c>
      <c r="D9" s="17">
        <v>2</v>
      </c>
      <c r="E9" s="17" t="s">
        <v>116</v>
      </c>
      <c r="G9" s="17">
        <v>2</v>
      </c>
      <c r="H9" t="s">
        <v>111</v>
      </c>
    </row>
    <row r="10" spans="2:8" ht="15" x14ac:dyDescent="0.25">
      <c r="B10" s="17" t="s">
        <v>51</v>
      </c>
      <c r="C10" s="17">
        <v>3</v>
      </c>
      <c r="D10" s="17">
        <v>3</v>
      </c>
      <c r="E10" s="17" t="s">
        <v>117</v>
      </c>
      <c r="G10" s="17">
        <v>3</v>
      </c>
      <c r="H10" t="s">
        <v>113</v>
      </c>
    </row>
    <row r="11" spans="2:8" ht="15" x14ac:dyDescent="0.25">
      <c r="B11" s="17" t="s">
        <v>74</v>
      </c>
      <c r="C11" s="17">
        <v>3</v>
      </c>
      <c r="D11" s="17">
        <v>4</v>
      </c>
      <c r="E11" s="17" t="s">
        <v>118</v>
      </c>
      <c r="G11" s="17">
        <v>4</v>
      </c>
      <c r="H11" t="s">
        <v>114</v>
      </c>
    </row>
    <row r="12" spans="2:8" x14ac:dyDescent="0.2">
      <c r="B12" s="17" t="s">
        <v>77</v>
      </c>
      <c r="C12" s="17">
        <v>2</v>
      </c>
      <c r="D12" s="17">
        <v>1</v>
      </c>
      <c r="E12" s="17" t="s">
        <v>120</v>
      </c>
    </row>
    <row r="13" spans="2:8" x14ac:dyDescent="0.2">
      <c r="B13" s="17" t="s">
        <v>80</v>
      </c>
      <c r="C13" s="17">
        <v>2</v>
      </c>
      <c r="D13" s="17">
        <v>2</v>
      </c>
      <c r="E13" s="17" t="s">
        <v>110</v>
      </c>
    </row>
    <row r="14" spans="2:8" x14ac:dyDescent="0.2">
      <c r="B14" s="17" t="s">
        <v>81</v>
      </c>
      <c r="C14" s="17">
        <v>2</v>
      </c>
      <c r="D14" s="17">
        <v>3</v>
      </c>
      <c r="E14" s="17" t="s">
        <v>110</v>
      </c>
    </row>
    <row r="15" spans="2:8" x14ac:dyDescent="0.2">
      <c r="B15" s="17" t="s">
        <v>84</v>
      </c>
      <c r="C15" s="17">
        <v>2</v>
      </c>
      <c r="D15" s="17">
        <v>4</v>
      </c>
      <c r="E15" s="17" t="s">
        <v>117</v>
      </c>
    </row>
    <row r="16" spans="2:8" x14ac:dyDescent="0.2">
      <c r="B16" s="17" t="s">
        <v>86</v>
      </c>
      <c r="C16" s="17">
        <v>1</v>
      </c>
      <c r="D16" s="17">
        <v>1</v>
      </c>
      <c r="E16" s="17" t="s">
        <v>120</v>
      </c>
    </row>
    <row r="17" spans="2:5" x14ac:dyDescent="0.2">
      <c r="B17" s="17" t="s">
        <v>87</v>
      </c>
      <c r="C17" s="17">
        <v>1</v>
      </c>
      <c r="D17" s="17">
        <v>2</v>
      </c>
      <c r="E17" s="17" t="s">
        <v>120</v>
      </c>
    </row>
    <row r="18" spans="2:5" x14ac:dyDescent="0.2">
      <c r="B18" s="17" t="s">
        <v>88</v>
      </c>
      <c r="C18" s="17">
        <v>1</v>
      </c>
      <c r="D18" s="17">
        <v>3</v>
      </c>
      <c r="E18" s="17" t="s">
        <v>120</v>
      </c>
    </row>
    <row r="19" spans="2:5" x14ac:dyDescent="0.2">
      <c r="B19" s="17" t="s">
        <v>89</v>
      </c>
      <c r="C19" s="17">
        <v>1</v>
      </c>
      <c r="D19" s="17">
        <v>4</v>
      </c>
      <c r="E19" s="17" t="s">
        <v>110</v>
      </c>
    </row>
    <row r="22" spans="2:5" x14ac:dyDescent="0.2">
      <c r="C22" s="17" t="s">
        <v>121</v>
      </c>
      <c r="D22" s="17" t="s">
        <v>114</v>
      </c>
      <c r="E22" s="17" t="b">
        <f>IF(AND(C22=$C$4,D22=$D$4),$E$4,IF(AND(C22=$C$5,D22=$D$5),$E$5,IF(AND(C22=$C$6,D22=$D$6),$E$6,IF(AND(C22=$C$7,D22=$D$7),$E$7,IF(AND(C22=$C$8,D22=$D$8),$E$8,IF(AND(C22=$C$9,D22=$D$9),$E$9,IF(AND(C22=$C$10,D22=$D$10),$E$10,IF(AND(C22=$C$11,D22=$D$11),$E$11,IF(AND(C22=$C$12,D22=$D$12),$E$12,IF(AND(C22=$C$13,D22=$D$13),$E$13,IF(AND(C22=$C$14,D22=$D$14),$E$14,IF(AND(C22=$C$15,D22=$D$15),$E$15,IF(AND(C22=$C$16,D22=$D$16),$E$16,IF(AND(C22=$C$17,D22=$D$17),$E$17,IF(AND(C22=$C$18,D22=$D$18),$E$18,IF(AND(C22=$C$19,D22=$D$19),$E$19))))))))))))))))</f>
        <v>0</v>
      </c>
    </row>
    <row r="24" spans="2:5" ht="15" x14ac:dyDescent="0.2">
      <c r="C24" s="18" t="s">
        <v>100</v>
      </c>
      <c r="D24" s="19" t="s">
        <v>107</v>
      </c>
      <c r="E24" s="18" t="s">
        <v>43</v>
      </c>
    </row>
    <row r="25" spans="2:5" x14ac:dyDescent="0.2">
      <c r="B25" s="17" t="s">
        <v>46</v>
      </c>
      <c r="C25" s="17" t="s">
        <v>108</v>
      </c>
      <c r="D25" s="17" t="s">
        <v>109</v>
      </c>
      <c r="E25" s="17" t="s">
        <v>110</v>
      </c>
    </row>
    <row r="26" spans="2:5" x14ac:dyDescent="0.2">
      <c r="B26" s="17" t="s">
        <v>60</v>
      </c>
      <c r="C26" s="17" t="s">
        <v>108</v>
      </c>
      <c r="D26" s="17" t="s">
        <v>111</v>
      </c>
      <c r="E26" s="17" t="s">
        <v>112</v>
      </c>
    </row>
    <row r="27" spans="2:5" x14ac:dyDescent="0.2">
      <c r="B27" s="17" t="s">
        <v>52</v>
      </c>
      <c r="C27" s="17" t="s">
        <v>108</v>
      </c>
      <c r="D27" s="17" t="s">
        <v>113</v>
      </c>
      <c r="E27" s="17" t="s">
        <v>112</v>
      </c>
    </row>
    <row r="28" spans="2:5" x14ac:dyDescent="0.2">
      <c r="B28" s="17" t="s">
        <v>66</v>
      </c>
      <c r="C28" s="17" t="s">
        <v>108</v>
      </c>
      <c r="D28" s="17" t="s">
        <v>114</v>
      </c>
      <c r="E28" s="17" t="s">
        <v>112</v>
      </c>
    </row>
    <row r="29" spans="2:5" x14ac:dyDescent="0.2">
      <c r="B29" s="17" t="s">
        <v>48</v>
      </c>
      <c r="C29" s="17" t="s">
        <v>115</v>
      </c>
      <c r="D29" s="17" t="s">
        <v>109</v>
      </c>
      <c r="E29" s="17" t="s">
        <v>116</v>
      </c>
    </row>
    <row r="30" spans="2:5" x14ac:dyDescent="0.2">
      <c r="B30" s="17" t="s">
        <v>71</v>
      </c>
      <c r="C30" s="17" t="s">
        <v>115</v>
      </c>
      <c r="D30" s="17" t="s">
        <v>111</v>
      </c>
      <c r="E30" s="17" t="s">
        <v>116</v>
      </c>
    </row>
    <row r="31" spans="2:5" x14ac:dyDescent="0.2">
      <c r="B31" s="17" t="s">
        <v>51</v>
      </c>
      <c r="C31" s="17" t="s">
        <v>115</v>
      </c>
      <c r="D31" s="17" t="s">
        <v>113</v>
      </c>
      <c r="E31" s="17" t="s">
        <v>117</v>
      </c>
    </row>
    <row r="32" spans="2:5" x14ac:dyDescent="0.2">
      <c r="B32" s="17" t="s">
        <v>74</v>
      </c>
      <c r="C32" s="17" t="s">
        <v>115</v>
      </c>
      <c r="D32" s="17" t="s">
        <v>114</v>
      </c>
      <c r="E32" s="17" t="s">
        <v>118</v>
      </c>
    </row>
    <row r="33" spans="2:5" x14ac:dyDescent="0.2">
      <c r="B33" s="17" t="s">
        <v>77</v>
      </c>
      <c r="C33" s="17" t="s">
        <v>119</v>
      </c>
      <c r="D33" s="17" t="s">
        <v>109</v>
      </c>
      <c r="E33" s="17" t="s">
        <v>120</v>
      </c>
    </row>
    <row r="34" spans="2:5" x14ac:dyDescent="0.2">
      <c r="B34" s="17" t="s">
        <v>80</v>
      </c>
      <c r="C34" s="17" t="s">
        <v>119</v>
      </c>
      <c r="D34" s="17" t="s">
        <v>111</v>
      </c>
      <c r="E34" s="17" t="s">
        <v>120</v>
      </c>
    </row>
    <row r="35" spans="2:5" x14ac:dyDescent="0.2">
      <c r="B35" s="17" t="s">
        <v>81</v>
      </c>
      <c r="C35" s="17" t="s">
        <v>119</v>
      </c>
      <c r="D35" s="17" t="s">
        <v>113</v>
      </c>
      <c r="E35" s="17" t="s">
        <v>110</v>
      </c>
    </row>
    <row r="36" spans="2:5" x14ac:dyDescent="0.2">
      <c r="B36" s="17" t="s">
        <v>84</v>
      </c>
      <c r="C36" s="17" t="s">
        <v>119</v>
      </c>
      <c r="D36" s="17" t="s">
        <v>114</v>
      </c>
      <c r="E36" s="17" t="s">
        <v>117</v>
      </c>
    </row>
    <row r="37" spans="2:5" x14ac:dyDescent="0.2">
      <c r="B37" s="17" t="s">
        <v>86</v>
      </c>
      <c r="C37" s="17" t="s">
        <v>121</v>
      </c>
      <c r="D37" s="17" t="s">
        <v>109</v>
      </c>
      <c r="E37" s="17" t="s">
        <v>120</v>
      </c>
    </row>
    <row r="38" spans="2:5" x14ac:dyDescent="0.2">
      <c r="B38" s="17" t="s">
        <v>87</v>
      </c>
      <c r="C38" s="17" t="s">
        <v>121</v>
      </c>
      <c r="D38" s="17" t="s">
        <v>111</v>
      </c>
      <c r="E38" s="17" t="s">
        <v>120</v>
      </c>
    </row>
    <row r="39" spans="2:5" x14ac:dyDescent="0.2">
      <c r="B39" s="17" t="s">
        <v>88</v>
      </c>
      <c r="C39" s="17" t="s">
        <v>121</v>
      </c>
      <c r="D39" s="17" t="s">
        <v>113</v>
      </c>
      <c r="E39" s="17" t="s">
        <v>120</v>
      </c>
    </row>
    <row r="40" spans="2:5" x14ac:dyDescent="0.2">
      <c r="B40" s="17" t="s">
        <v>89</v>
      </c>
      <c r="C40" s="17" t="s">
        <v>121</v>
      </c>
      <c r="D40" s="17" t="s">
        <v>114</v>
      </c>
      <c r="E40" s="17" t="s">
        <v>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6</vt:i4>
      </vt:variant>
    </vt:vector>
  </HeadingPairs>
  <TitlesOfParts>
    <vt:vector size="15" baseType="lpstr">
      <vt:lpstr>INCERTEZA</vt:lpstr>
      <vt:lpstr>AEP</vt:lpstr>
      <vt:lpstr>LANÇAMENTOS</vt:lpstr>
      <vt:lpstr>Planilha5</vt:lpstr>
      <vt:lpstr>Planilha11</vt:lpstr>
      <vt:lpstr>Planilha9</vt:lpstr>
      <vt:lpstr>Planilha3</vt:lpstr>
      <vt:lpstr>Planilha2</vt:lpstr>
      <vt:lpstr>monitoramento</vt:lpstr>
      <vt:lpstr>AMBIENTAIS</vt:lpstr>
      <vt:lpstr>AEP!Area_de_impressao</vt:lpstr>
      <vt:lpstr>BIOMECÂNICOS</vt:lpstr>
      <vt:lpstr>MOBILIÁRIO_E_EQUIPAMENTOS</vt:lpstr>
      <vt:lpstr>ORGANIZACIONAIS</vt:lpstr>
      <vt:lpstr>PSICOSSOCIAIS_E_COGNITIVOS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Marchese</dc:creator>
  <cp:keywords/>
  <dc:description/>
  <cp:lastModifiedBy>Adriani Costa</cp:lastModifiedBy>
  <cp:revision/>
  <cp:lastPrinted>2022-11-18T12:59:37Z</cp:lastPrinted>
  <dcterms:created xsi:type="dcterms:W3CDTF">2022-06-29T19:36:09Z</dcterms:created>
  <dcterms:modified xsi:type="dcterms:W3CDTF">2026-07-07T04:16:33Z</dcterms:modified>
  <cp:category/>
  <cp:contentStatus/>
</cp:coreProperties>
</file>